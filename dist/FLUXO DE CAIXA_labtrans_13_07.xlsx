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68" firstSheet="0" activeTab="1" autoFilterDateGrouping="1"/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FAPEU" sheetId="1" state="visible" r:id="rId1"/>
    <sheet xmlns:r="http://schemas.openxmlformats.org/officeDocument/2006/relationships" name="FabioMattos" sheetId="2" state="visible" r:id="rId2"/>
    <sheet xmlns:r="http://schemas.openxmlformats.org/officeDocument/2006/relationships" name="saldoFAPEU" sheetId="3" state="visible" r:id="rId3"/>
    <sheet xmlns:r="http://schemas.openxmlformats.org/officeDocument/2006/relationships" name="saldo fapeu" sheetId="4" state="visible" r:id="rId4"/>
    <sheet xmlns:r="http://schemas.openxmlformats.org/officeDocument/2006/relationships" name="Análise" sheetId="5" state="visible" r:id="rId5"/>
    <sheet xmlns:r="http://schemas.openxmlformats.org/officeDocument/2006/relationships" name="SAC 2024" sheetId="6" state="visible" r:id="rId6"/>
    <sheet xmlns:r="http://schemas.openxmlformats.org/officeDocument/2006/relationships" name="Prodesp" sheetId="7" state="visible" r:id="rId7"/>
    <sheet xmlns:r="http://schemas.openxmlformats.org/officeDocument/2006/relationships" name="DER-MG" sheetId="8" state="visible" r:id="rId8"/>
    <sheet xmlns:r="http://schemas.openxmlformats.org/officeDocument/2006/relationships" name="Goias II" sheetId="9" state="visible" r:id="rId9"/>
    <sheet xmlns:r="http://schemas.openxmlformats.org/officeDocument/2006/relationships" name="RUMO" sheetId="10" state="visible" r:id="rId10"/>
    <sheet xmlns:r="http://schemas.openxmlformats.org/officeDocument/2006/relationships" name="Goiás" sheetId="11" state="visible" r:id="rId11"/>
    <sheet xmlns:r="http://schemas.openxmlformats.org/officeDocument/2006/relationships" name="SAC BIM" sheetId="12" state="visible" r:id="rId12"/>
    <sheet xmlns:r="http://schemas.openxmlformats.org/officeDocument/2006/relationships" name="DNIT 2026" sheetId="13" state="visible" r:id="rId13"/>
  </sheets>
  <definedNames>
    <definedName name="_xlnm.Print_Area" localSheetId="5">'SAC 2024'!$A$1:$AJ$56</definedName>
    <definedName name="_xlnm.Print_Area" localSheetId="6">'Prodesp'!$A$1:$P$88</definedName>
    <definedName name="_xlnm.Print_Area" localSheetId="7">'DER-MG'!$A$1:$O$40</definedName>
    <definedName name="_xlnm.Print_Area" localSheetId="8">'Goias II'!$A$1:$N$23</definedName>
    <definedName name="_xlnm.Print_Area" localSheetId="9">'RUMO'!$A$1:$W$24</definedName>
    <definedName name="_xlnm.Print_Area" localSheetId="10">'Goiás'!$A$1:$G$24</definedName>
    <definedName name="_xlnm.Print_Area" localSheetId="11">'SAC BIM'!$A$1:$BH$125</definedName>
    <definedName name="_xlnm.Print_Area" localSheetId="12">'DNIT 2026'!$A$2:$BM$90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#,##0.00_ ;[Red]\-#,##0.00\ "/>
    <numFmt numFmtId="165" formatCode="_-* #,##0.00_-;\-* #,##0.00_-;_-* &quot;-&quot;??_-;_-@_-"/>
    <numFmt numFmtId="166" formatCode="mmm\-yy"/>
    <numFmt numFmtId="167" formatCode="[$-416]mmm\-yy;@"/>
    <numFmt numFmtId="168" formatCode="_(* #,##0_);_(* \(#,##0\);_(* &quot;-&quot;??_);_(@_)"/>
    <numFmt numFmtId="169" formatCode="_-* #,##0_-;\-* #,##0_-;_-* &quot;-&quot;_-;_-@_-"/>
    <numFmt numFmtId="170" formatCode="dd/mm/yy;@"/>
  </numFmts>
  <fonts count="42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b val="1"/>
      <color indexed="18"/>
      <sz val="8"/>
    </font>
    <font>
      <name val="Arial"/>
      <family val="2"/>
      <sz val="8"/>
    </font>
    <font>
      <name val="Arial"/>
      <family val="2"/>
      <b val="1"/>
      <color indexed="10"/>
      <sz val="8"/>
    </font>
    <font>
      <name val="Arial"/>
      <family val="2"/>
      <color indexed="18"/>
      <sz val="8"/>
    </font>
    <font>
      <name val="Arial"/>
      <family val="2"/>
      <b val="1"/>
      <color rgb="FFFF0000"/>
      <sz val="8"/>
    </font>
    <font>
      <name val="Arial"/>
      <family val="2"/>
      <color indexed="8"/>
      <sz val="8"/>
    </font>
    <font>
      <name val="Arial"/>
      <family val="2"/>
      <b val="1"/>
      <color theme="0"/>
      <sz val="8"/>
    </font>
    <font>
      <name val="Calibri"/>
      <family val="2"/>
      <color theme="1"/>
      <sz val="9"/>
      <scheme val="minor"/>
    </font>
    <font>
      <name val="Arial"/>
      <family val="2"/>
      <color theme="0"/>
      <sz val="8"/>
    </font>
    <font>
      <name val="Arial"/>
      <family val="2"/>
      <b val="1"/>
      <color theme="0"/>
      <sz val="7.5"/>
    </font>
    <font>
      <name val="Arial"/>
      <family val="2"/>
      <color rgb="FF000000"/>
      <sz val="8"/>
    </font>
    <font>
      <name val="Calibri"/>
      <family val="2"/>
      <b val="1"/>
      <color indexed="18"/>
      <sz val="9"/>
      <scheme val="minor"/>
    </font>
    <font>
      <name val="Calibri"/>
      <family val="2"/>
      <sz val="9"/>
      <scheme val="minor"/>
    </font>
    <font>
      <name val="Calibri"/>
      <family val="2"/>
      <color indexed="8"/>
      <sz val="9"/>
      <scheme val="minor"/>
    </font>
    <font>
      <name val="Calibri"/>
      <family val="2"/>
      <b val="1"/>
      <sz val="9"/>
      <scheme val="minor"/>
    </font>
    <font>
      <name val="Calibri"/>
      <family val="2"/>
      <b val="1"/>
      <color rgb="FFFF0000"/>
      <sz val="9"/>
      <scheme val="minor"/>
    </font>
    <font>
      <name val="Calibri"/>
      <family val="2"/>
      <b val="1"/>
      <color indexed="10"/>
      <sz val="9"/>
      <scheme val="minor"/>
    </font>
    <font>
      <name val="Calibri"/>
      <family val="2"/>
      <color theme="4" tint="-0.499984740745262"/>
      <sz val="9"/>
      <scheme val="minor"/>
    </font>
    <font>
      <name val="Calibri"/>
      <family val="2"/>
      <color indexed="18"/>
      <sz val="9"/>
      <scheme val="minor"/>
    </font>
    <font>
      <name val="Calibri"/>
      <family val="2"/>
      <sz val="8"/>
      <scheme val="minor"/>
    </font>
    <font>
      <name val="Arial"/>
      <family val="2"/>
      <b val="1"/>
      <sz val="10"/>
    </font>
    <font>
      <name val="Calibri"/>
      <family val="2"/>
      <b val="1"/>
      <color theme="0"/>
      <sz val="9"/>
      <scheme val="minor"/>
    </font>
    <font>
      <name val="Calibri"/>
      <family val="2"/>
      <b val="1"/>
      <color rgb="FF002060"/>
      <sz val="9"/>
      <scheme val="minor"/>
    </font>
    <font>
      <name val="Calibri"/>
      <family val="2"/>
      <color indexed="10"/>
      <sz val="9"/>
      <scheme val="minor"/>
    </font>
    <font>
      <name val="Arial"/>
      <sz val="10"/>
    </font>
    <font>
      <name val="Arial"/>
      <family val="2"/>
      <sz val="18"/>
    </font>
    <font>
      <name val="Arial"/>
      <family val="2"/>
      <sz val="12"/>
    </font>
    <font>
      <name val="Calibri"/>
      <family val="2"/>
      <sz val="12"/>
      <scheme val="minor"/>
    </font>
    <font>
      <name val="Arial"/>
      <family val="2"/>
      <b val="1"/>
      <sz val="12"/>
    </font>
    <font>
      <name val="Arial"/>
      <family val="2"/>
      <b val="1"/>
      <i val="1"/>
      <sz val="12"/>
    </font>
    <font>
      <name val="Arial"/>
      <family val="2"/>
      <color theme="0"/>
      <sz val="10"/>
    </font>
    <font>
      <name val="Calibri"/>
      <family val="2"/>
      <b val="1"/>
      <color theme="1"/>
      <sz val="8"/>
      <scheme val="minor"/>
    </font>
    <font>
      <name val="Arial"/>
      <family val="2"/>
      <b val="1"/>
      <sz val="11"/>
    </font>
    <font>
      <name val="Consolas"/>
      <family val="3"/>
      <color rgb="FF000000"/>
      <sz val="10"/>
    </font>
    <font>
      <name val="Consolas"/>
      <family val="3"/>
      <b val="1"/>
      <color rgb="FF800000"/>
      <sz val="10"/>
    </font>
    <font>
      <name val="Consolas"/>
      <family val="3"/>
      <b val="1"/>
      <color rgb="FF000080"/>
      <sz val="10"/>
    </font>
    <font>
      <name val="Consolas"/>
      <family val="3"/>
      <i val="1"/>
      <color rgb="FF8E00C6"/>
      <sz val="10"/>
    </font>
    <font>
      <name val="Consolas"/>
      <family val="3"/>
      <color rgb="FF956037"/>
      <sz val="10"/>
    </font>
  </fonts>
  <fills count="2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5F595"/>
        <bgColor indexed="64"/>
      </patternFill>
    </fill>
    <fill>
      <patternFill patternType="solid">
        <fgColor rgb="FF35EB35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gradientFill type="linear" degree="90">
        <stop position="0">
          <color theme="0"/>
        </stop>
        <stop position="1">
          <color theme="6" tint="0.4000061037018952"/>
        </stop>
      </gradientFill>
    </fill>
    <fill>
      <gradientFill type="linear" degree="270">
        <stop position="0">
          <color theme="0"/>
        </stop>
        <stop position="1">
          <color theme="4"/>
        </stop>
      </gradientFill>
    </fill>
    <fill>
      <gradientFill type="linear" degree="270">
        <stop position="0">
          <color theme="0"/>
        </stop>
        <stop position="1">
          <color theme="4" tint="0.4000061037018952"/>
        </stop>
      </gradientFill>
    </fill>
    <fill>
      <patternFill patternType="solid">
        <fgColor theme="9" tint="0.5999633777886288"/>
        <bgColor auto="1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6" tint="0.399975585192419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28" fillId="0" borderId="0"/>
    <xf numFmtId="43" fontId="2" fillId="0" borderId="0"/>
    <xf numFmtId="0" fontId="1" fillId="0" borderId="0"/>
    <xf numFmtId="44" fontId="28" fillId="0" borderId="0"/>
    <xf numFmtId="9" fontId="28" fillId="0" borderId="0"/>
  </cellStyleXfs>
  <cellXfs count="387">
    <xf numFmtId="0" fontId="0" fillId="0" borderId="0" pivotButton="0" quotePrefix="0" xfId="0"/>
    <xf numFmtId="0" fontId="10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7" fontId="4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1">
      <alignment horizontal="center" vertical="center"/>
    </xf>
    <xf numFmtId="38" fontId="4" fillId="4" borderId="1" applyAlignment="1" pivotButton="0" quotePrefix="0" xfId="1">
      <alignment vertical="center"/>
    </xf>
    <xf numFmtId="0" fontId="5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38" fontId="5" fillId="2" borderId="1" applyAlignment="1" pivotButton="0" quotePrefix="0" xfId="0">
      <alignment horizontal="right" vertical="center"/>
    </xf>
    <xf numFmtId="38" fontId="5" fillId="0" borderId="1" applyAlignment="1" pivotButton="0" quotePrefix="0" xfId="0">
      <alignment vertical="center"/>
    </xf>
    <xf numFmtId="38" fontId="7" fillId="2" borderId="1" applyAlignment="1" pivotButton="0" quotePrefix="0" xfId="0">
      <alignment vertical="center"/>
    </xf>
    <xf numFmtId="38" fontId="7" fillId="2" borderId="1" applyAlignment="1" pivotButton="0" quotePrefix="0" xfId="0">
      <alignment horizontal="right" vertical="center"/>
    </xf>
    <xf numFmtId="38" fontId="3" fillId="2" borderId="1" applyAlignment="1" pivotButton="0" quotePrefix="0" xfId="1">
      <alignment horizontal="right" vertical="center"/>
    </xf>
    <xf numFmtId="0" fontId="5" fillId="2" borderId="1" applyAlignment="1" pivotButton="0" quotePrefix="0" xfId="0">
      <alignment vertical="center"/>
    </xf>
    <xf numFmtId="17" fontId="6" fillId="4" borderId="1" applyAlignment="1" pivotButton="0" quotePrefix="0" xfId="0">
      <alignment horizontal="center" vertical="center"/>
    </xf>
    <xf numFmtId="38" fontId="3" fillId="3" borderId="0" applyAlignment="1" pivotButton="0" quotePrefix="0" xfId="0">
      <alignment horizontal="right" vertical="center"/>
    </xf>
    <xf numFmtId="38" fontId="5" fillId="3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38" fontId="5" fillId="0" borderId="0" applyAlignment="1" pivotButton="0" quotePrefix="0" xfId="0">
      <alignment vertical="center"/>
    </xf>
    <xf numFmtId="38" fontId="3" fillId="4" borderId="1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38" fontId="5" fillId="0" borderId="0" applyAlignment="1" pivotButton="0" quotePrefix="0" xfId="0">
      <alignment horizontal="right" vertical="center"/>
    </xf>
    <xf numFmtId="38" fontId="3" fillId="0" borderId="0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17" fontId="4" fillId="0" borderId="0" applyAlignment="1" pivotButton="0" quotePrefix="0" xfId="0">
      <alignment horizontal="center" vertical="center"/>
    </xf>
    <xf numFmtId="17" fontId="6" fillId="0" borderId="0" applyAlignment="1" pivotButton="0" quotePrefix="0" xfId="0">
      <alignment horizontal="center" vertical="center"/>
    </xf>
    <xf numFmtId="38" fontId="4" fillId="0" borderId="0" applyAlignment="1" pivotButton="0" quotePrefix="0" xfId="1">
      <alignment vertical="center"/>
    </xf>
    <xf numFmtId="0" fontId="4" fillId="4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38" fontId="5" fillId="0" borderId="0" applyAlignment="1" pivotButton="0" quotePrefix="0" xfId="1">
      <alignment vertical="center"/>
    </xf>
    <xf numFmtId="0" fontId="3" fillId="3" borderId="0" applyAlignment="1" pivotButton="0" quotePrefix="0" xfId="0">
      <alignment horizontal="center" vertical="center"/>
    </xf>
    <xf numFmtId="38" fontId="7" fillId="0" borderId="0" applyAlignment="1" pivotButton="0" quotePrefix="0" xfId="0">
      <alignment vertical="center"/>
    </xf>
    <xf numFmtId="38" fontId="7" fillId="3" borderId="0" applyAlignment="1" pivotButton="0" quotePrefix="0" xfId="0">
      <alignment vertical="center"/>
    </xf>
    <xf numFmtId="0" fontId="10" fillId="5" borderId="1" applyAlignment="1" pivotButton="0" quotePrefix="0" xfId="0">
      <alignment vertical="center"/>
    </xf>
    <xf numFmtId="0" fontId="12" fillId="5" borderId="1" applyAlignment="1" pivotButton="0" quotePrefix="0" xfId="0">
      <alignment horizontal="center" vertical="center"/>
    </xf>
    <xf numFmtId="10" fontId="10" fillId="5" borderId="1" applyAlignment="1" pivotButton="0" quotePrefix="0" xfId="0">
      <alignment horizontal="center" vertical="center"/>
    </xf>
    <xf numFmtId="38" fontId="10" fillId="5" borderId="1" applyAlignment="1" pivotButton="0" quotePrefix="0" xfId="0">
      <alignment horizontal="right" vertical="center"/>
    </xf>
    <xf numFmtId="38" fontId="13" fillId="5" borderId="1" applyAlignment="1" pivotButton="0" quotePrefix="0" xfId="0">
      <alignment horizontal="right" vertical="center"/>
    </xf>
    <xf numFmtId="38" fontId="0" fillId="0" borderId="0" applyAlignment="1" pivotButton="0" quotePrefix="0" xfId="0">
      <alignment vertical="center"/>
    </xf>
    <xf numFmtId="0" fontId="15" fillId="4" borderId="1" applyAlignment="1" pivotButton="0" quotePrefix="0" xfId="0">
      <alignment horizontal="center" vertical="center"/>
    </xf>
    <xf numFmtId="0" fontId="15" fillId="4" borderId="3" applyAlignment="1" pivotButton="0" quotePrefix="0" xfId="0">
      <alignment horizontal="left" vertical="center"/>
    </xf>
    <xf numFmtId="0" fontId="15" fillId="4" borderId="2" applyAlignment="1" pivotButton="0" quotePrefix="0" xfId="0">
      <alignment horizontal="center" vertical="center"/>
    </xf>
    <xf numFmtId="17" fontId="15" fillId="4" borderId="1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16" fillId="3" borderId="1" applyAlignment="1" pivotButton="0" quotePrefix="0" xfId="0">
      <alignment horizontal="center" vertical="center"/>
    </xf>
    <xf numFmtId="0" fontId="17" fillId="2" borderId="3" applyAlignment="1" pivotButton="0" quotePrefix="0" xfId="0">
      <alignment horizontal="left" vertical="center"/>
    </xf>
    <xf numFmtId="38" fontId="16" fillId="0" borderId="2" applyAlignment="1" pivotButton="0" quotePrefix="0" xfId="1">
      <alignment vertical="center"/>
    </xf>
    <xf numFmtId="0" fontId="19" fillId="4" borderId="1" applyAlignment="1" pivotButton="0" quotePrefix="0" xfId="0">
      <alignment horizontal="center" vertical="center"/>
    </xf>
    <xf numFmtId="17" fontId="20" fillId="4" borderId="1" applyAlignment="1" pivotButton="0" quotePrefix="0" xfId="0">
      <alignment horizontal="center" vertical="center"/>
    </xf>
    <xf numFmtId="17" fontId="20" fillId="4" borderId="4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16" fillId="0" borderId="1" applyAlignment="1" pivotButton="0" quotePrefix="0" xfId="0">
      <alignment horizontal="center" vertical="center"/>
    </xf>
    <xf numFmtId="10" fontId="16" fillId="3" borderId="1" applyAlignment="1" pivotButton="0" quotePrefix="0" xfId="1">
      <alignment horizontal="center" vertical="center"/>
    </xf>
    <xf numFmtId="38" fontId="15" fillId="4" borderId="1" applyAlignment="1" pivotButton="0" quotePrefix="0" xfId="1">
      <alignment vertical="center"/>
    </xf>
    <xf numFmtId="38" fontId="18" fillId="4" borderId="1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6" fillId="2" borderId="0" applyAlignment="1" pivotButton="0" quotePrefix="0" xfId="0">
      <alignment vertical="center"/>
    </xf>
    <xf numFmtId="0" fontId="18" fillId="4" borderId="1" applyAlignment="1" pivotButton="0" quotePrefix="0" xfId="0">
      <alignment horizontal="center" vertical="center"/>
    </xf>
    <xf numFmtId="0" fontId="18" fillId="4" borderId="1" applyAlignment="1" pivotButton="0" quotePrefix="0" xfId="0">
      <alignment vertical="center"/>
    </xf>
    <xf numFmtId="10" fontId="16" fillId="2" borderId="1" applyAlignment="1" pivotButton="0" quotePrefix="0" xfId="0">
      <alignment vertical="center"/>
    </xf>
    <xf numFmtId="38" fontId="16" fillId="2" borderId="1" applyAlignment="1" pivotButton="0" quotePrefix="0" xfId="0">
      <alignment horizontal="right" vertical="center"/>
    </xf>
    <xf numFmtId="38" fontId="16" fillId="0" borderId="1" applyAlignment="1" pivotButton="0" quotePrefix="0" xfId="0">
      <alignment vertical="center"/>
    </xf>
    <xf numFmtId="38" fontId="22" fillId="2" borderId="1" applyAlignment="1" pivotButton="0" quotePrefix="0" xfId="0">
      <alignment vertical="center"/>
    </xf>
    <xf numFmtId="38" fontId="22" fillId="2" borderId="1" applyAlignment="1" pivotButton="0" quotePrefix="0" xfId="0">
      <alignment horizontal="right" vertical="center"/>
    </xf>
    <xf numFmtId="38" fontId="16" fillId="3" borderId="5" applyAlignment="1" pivotButton="0" quotePrefix="0" xfId="0">
      <alignment vertical="center"/>
    </xf>
    <xf numFmtId="38" fontId="18" fillId="2" borderId="1" applyAlignment="1" pivotButton="0" quotePrefix="0" xfId="1">
      <alignment horizontal="right" vertical="center"/>
    </xf>
    <xf numFmtId="38" fontId="16" fillId="3" borderId="0" applyAlignment="1" pivotButton="0" quotePrefix="0" xfId="0">
      <alignment vertical="center"/>
    </xf>
    <xf numFmtId="38" fontId="16" fillId="0" borderId="0" applyAlignment="1" pivotButton="0" quotePrefix="0" xfId="0">
      <alignment vertical="center"/>
    </xf>
    <xf numFmtId="0" fontId="16" fillId="2" borderId="1" applyAlignment="1" pivotButton="0" quotePrefix="0" xfId="0">
      <alignment vertical="center"/>
    </xf>
    <xf numFmtId="38" fontId="16" fillId="3" borderId="1" applyAlignment="1" pivotButton="0" quotePrefix="0" xfId="0">
      <alignment vertical="center"/>
    </xf>
    <xf numFmtId="38" fontId="18" fillId="3" borderId="1" applyAlignment="1" pivotButton="0" quotePrefix="0" xfId="0">
      <alignment horizontal="left" vertical="center"/>
    </xf>
    <xf numFmtId="38" fontId="16" fillId="3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10" fontId="18" fillId="4" borderId="1" applyAlignment="1" pivotButton="0" quotePrefix="0" xfId="0">
      <alignment vertical="center"/>
    </xf>
    <xf numFmtId="38" fontId="18" fillId="4" borderId="1" applyAlignment="1" pivotButton="0" quotePrefix="0" xfId="0">
      <alignment horizontal="right" vertical="center"/>
    </xf>
    <xf numFmtId="38" fontId="18" fillId="3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 vertical="center"/>
    </xf>
    <xf numFmtId="38" fontId="10" fillId="0" borderId="0" applyAlignment="1" pivotButton="0" quotePrefix="0" xfId="0">
      <alignment horizontal="right" vertical="center"/>
    </xf>
    <xf numFmtId="14" fontId="5" fillId="0" borderId="1" applyAlignment="1" pivotButton="0" quotePrefix="0" xfId="0">
      <alignment horizontal="center"/>
    </xf>
    <xf numFmtId="38" fontId="18" fillId="0" borderId="1" applyAlignment="1" pivotButton="0" quotePrefix="0" xfId="0">
      <alignment horizontal="left" vertical="center"/>
    </xf>
    <xf numFmtId="38" fontId="16" fillId="0" borderId="1" applyAlignment="1" pivotButton="0" quotePrefix="0" xfId="0">
      <alignment horizontal="center" vertical="center"/>
    </xf>
    <xf numFmtId="38" fontId="18" fillId="0" borderId="0" applyAlignment="1" pivotButton="0" quotePrefix="0" xfId="0">
      <alignment horizontal="right" vertical="center"/>
    </xf>
    <xf numFmtId="0" fontId="16" fillId="3" borderId="9" applyAlignment="1" pivotButton="0" quotePrefix="0" xfId="0">
      <alignment vertical="center"/>
    </xf>
    <xf numFmtId="0" fontId="16" fillId="3" borderId="3" applyAlignment="1" pivotButton="0" quotePrefix="0" xfId="0">
      <alignment vertical="center"/>
    </xf>
    <xf numFmtId="0" fontId="16" fillId="3" borderId="2" applyAlignment="1" pivotButton="0" quotePrefix="0" xfId="0">
      <alignment vertical="center"/>
    </xf>
    <xf numFmtId="1" fontId="16" fillId="0" borderId="0" applyAlignment="1" pivotButton="0" quotePrefix="0" xfId="0">
      <alignment vertical="center"/>
    </xf>
    <xf numFmtId="1" fontId="22" fillId="0" borderId="0" applyAlignment="1" pivotButton="0" quotePrefix="0" xfId="0">
      <alignment vertical="center"/>
    </xf>
    <xf numFmtId="1" fontId="16" fillId="3" borderId="1" applyAlignment="1" pivotButton="0" quotePrefix="0" xfId="0">
      <alignment horizontal="center" vertical="center"/>
    </xf>
    <xf numFmtId="49" fontId="16" fillId="3" borderId="1" applyAlignment="1" pivotButton="0" quotePrefix="0" xfId="0">
      <alignment horizontal="center" vertical="center"/>
    </xf>
    <xf numFmtId="38" fontId="18" fillId="3" borderId="1" applyAlignment="1" pivotButton="0" quotePrefix="0" xfId="1">
      <alignment horizontal="right" vertical="center"/>
    </xf>
    <xf numFmtId="38" fontId="26" fillId="3" borderId="1" applyAlignment="1" pivotButton="0" quotePrefix="0" xfId="1">
      <alignment horizontal="right" vertical="center"/>
    </xf>
    <xf numFmtId="38" fontId="16" fillId="3" borderId="1" applyAlignment="1" pivotButton="0" quotePrefix="0" xfId="1">
      <alignment horizontal="right" vertical="center"/>
    </xf>
    <xf numFmtId="38" fontId="25" fillId="6" borderId="1" applyAlignment="1" pivotButton="0" quotePrefix="0" xfId="1">
      <alignment horizontal="right" vertical="center"/>
    </xf>
    <xf numFmtId="1" fontId="16" fillId="3" borderId="0" applyAlignment="1" pivotButton="0" quotePrefix="0" xfId="0">
      <alignment horizontal="center" vertical="center"/>
    </xf>
    <xf numFmtId="1" fontId="27" fillId="0" borderId="0" applyAlignment="1" pivotButton="0" quotePrefix="0" xfId="0">
      <alignment vertical="center"/>
    </xf>
    <xf numFmtId="38" fontId="25" fillId="7" borderId="1" applyAlignment="1" pivotButton="0" quotePrefix="0" xfId="1">
      <alignment horizontal="right" vertical="center"/>
    </xf>
    <xf numFmtId="38" fontId="16" fillId="3" borderId="1" applyAlignment="1" pivotButton="0" quotePrefix="0" xfId="1">
      <alignment vertical="center"/>
    </xf>
    <xf numFmtId="38" fontId="25" fillId="8" borderId="1" applyAlignment="1" pivotButton="0" quotePrefix="0" xfId="1">
      <alignment horizontal="right" vertical="center"/>
    </xf>
    <xf numFmtId="1" fontId="25" fillId="3" borderId="0" applyAlignment="1" pivotButton="0" quotePrefix="0" xfId="0">
      <alignment horizontal="center" vertical="center"/>
    </xf>
    <xf numFmtId="0" fontId="25" fillId="3" borderId="0" applyAlignment="1" pivotButton="0" quotePrefix="0" xfId="0">
      <alignment vertical="center"/>
    </xf>
    <xf numFmtId="38" fontId="25" fillId="3" borderId="0" applyAlignment="1" pivotButton="0" quotePrefix="0" xfId="1">
      <alignment horizontal="right" vertical="center"/>
    </xf>
    <xf numFmtId="1" fontId="16" fillId="3" borderId="0" applyAlignment="1" pivotButton="0" quotePrefix="0" xfId="0">
      <alignment vertical="center"/>
    </xf>
    <xf numFmtId="1" fontId="16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38" fontId="18" fillId="3" borderId="0" applyAlignment="1" pivotButton="0" quotePrefix="0" xfId="0">
      <alignment horizontal="left" vertical="center"/>
    </xf>
    <xf numFmtId="38" fontId="16" fillId="3" borderId="0" applyAlignment="1" pivotButton="0" quotePrefix="0" xfId="0">
      <alignment horizontal="center" vertical="center"/>
    </xf>
    <xf numFmtId="38" fontId="18" fillId="3" borderId="0" applyAlignment="1" pivotButton="0" quotePrefix="0" xfId="0">
      <alignment vertical="center"/>
    </xf>
    <xf numFmtId="0" fontId="16" fillId="3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17" fontId="18" fillId="0" borderId="0" applyAlignment="1" pivotButton="0" quotePrefix="0" xfId="0">
      <alignment horizontal="center" vertical="center"/>
    </xf>
    <xf numFmtId="38" fontId="16" fillId="0" borderId="0" applyAlignment="1" pivotButton="0" quotePrefix="0" xfId="0">
      <alignment horizontal="center" vertical="center"/>
    </xf>
    <xf numFmtId="10" fontId="16" fillId="0" borderId="14" applyAlignment="1" pivotButton="0" quotePrefix="0" xfId="0">
      <alignment horizontal="center" vertical="center"/>
    </xf>
    <xf numFmtId="10" fontId="2" fillId="0" borderId="0" pivotButton="0" quotePrefix="0" xfId="0"/>
    <xf numFmtId="0" fontId="30" fillId="0" borderId="0" pivotButton="0" quotePrefix="0" xfId="0"/>
    <xf numFmtId="49" fontId="31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4" fillId="16" borderId="0" applyAlignment="1" pivotButton="0" quotePrefix="0" xfId="0">
      <alignment vertical="center"/>
    </xf>
    <xf numFmtId="0" fontId="24" fillId="16" borderId="0" applyAlignment="1" pivotButton="0" quotePrefix="0" xfId="0">
      <alignment horizontal="center" vertical="center"/>
    </xf>
    <xf numFmtId="10" fontId="24" fillId="16" borderId="0" applyAlignment="1" pivotButton="0" quotePrefix="0" xfId="4">
      <alignment horizontal="left" vertical="center"/>
    </xf>
    <xf numFmtId="0" fontId="24" fillId="18" borderId="0" applyAlignment="1" pivotButton="0" quotePrefix="0" xfId="0">
      <alignment vertical="center"/>
    </xf>
    <xf numFmtId="10" fontId="24" fillId="18" borderId="0" applyAlignment="1" pivotButton="0" quotePrefix="0" xfId="4">
      <alignment horizontal="left" vertical="center"/>
    </xf>
    <xf numFmtId="0" fontId="24" fillId="17" borderId="0" applyAlignment="1" pivotButton="0" quotePrefix="0" xfId="0">
      <alignment vertical="center"/>
    </xf>
    <xf numFmtId="10" fontId="24" fillId="17" borderId="0" applyAlignment="1" pivotButton="0" quotePrefix="0" xfId="4">
      <alignment horizontal="left" vertical="center"/>
    </xf>
    <xf numFmtId="0" fontId="24" fillId="0" borderId="0" applyAlignment="1" pivotButton="0" quotePrefix="0" xfId="0">
      <alignment vertical="center"/>
    </xf>
    <xf numFmtId="10" fontId="24" fillId="0" borderId="0" applyAlignment="1" pivotButton="0" quotePrefix="0" xfId="4">
      <alignment horizontal="left" vertical="center"/>
    </xf>
    <xf numFmtId="4" fontId="24" fillId="16" borderId="0" applyAlignment="1" pivotButton="0" quotePrefix="0" xfId="3">
      <alignment vertical="center"/>
    </xf>
    <xf numFmtId="4" fontId="24" fillId="0" borderId="0" applyAlignment="1" pivotButton="0" quotePrefix="0" xfId="3">
      <alignment vertical="center"/>
    </xf>
    <xf numFmtId="0" fontId="33" fillId="19" borderId="0" applyAlignment="1" pivotButton="0" quotePrefix="0" xfId="0">
      <alignment vertical="center"/>
    </xf>
    <xf numFmtId="0" fontId="34" fillId="0" borderId="0" pivotButton="0" quotePrefix="0" xfId="0"/>
    <xf numFmtId="0" fontId="2" fillId="21" borderId="0" pivotButton="0" quotePrefix="0" xfId="0"/>
    <xf numFmtId="0" fontId="0" fillId="21" borderId="0" pivotButton="0" quotePrefix="0" xfId="0"/>
    <xf numFmtId="0" fontId="2" fillId="22" borderId="0" pivotButton="0" quotePrefix="0" xfId="0"/>
    <xf numFmtId="0" fontId="0" fillId="22" borderId="0" pivotButton="0" quotePrefix="0" xfId="0"/>
    <xf numFmtId="0" fontId="2" fillId="23" borderId="0" pivotButton="0" quotePrefix="0" xfId="0"/>
    <xf numFmtId="0" fontId="0" fillId="23" borderId="0" pivotButton="0" quotePrefix="0" xfId="0"/>
    <xf numFmtId="0" fontId="24" fillId="20" borderId="13" pivotButton="0" quotePrefix="0" xfId="0"/>
    <xf numFmtId="0" fontId="32" fillId="20" borderId="13" pivotButton="0" quotePrefix="0" xfId="0"/>
    <xf numFmtId="0" fontId="24" fillId="20" borderId="6" pivotButton="0" quotePrefix="0" xfId="0"/>
    <xf numFmtId="0" fontId="32" fillId="20" borderId="6" pivotButton="0" quotePrefix="0" xfId="0"/>
    <xf numFmtId="4" fontId="36" fillId="20" borderId="6" pivotButton="0" quotePrefix="0" xfId="1"/>
    <xf numFmtId="0" fontId="36" fillId="0" borderId="13" pivotButton="0" quotePrefix="0" xfId="0"/>
    <xf numFmtId="0" fontId="24" fillId="0" borderId="0" pivotButton="0" quotePrefix="0" xfId="0"/>
    <xf numFmtId="0" fontId="24" fillId="20" borderId="0" applyAlignment="1" pivotButton="0" quotePrefix="0" xfId="0">
      <alignment vertical="center"/>
    </xf>
    <xf numFmtId="0" fontId="2" fillId="0" borderId="0" pivotButton="0" quotePrefix="0" xfId="0"/>
    <xf numFmtId="0" fontId="24" fillId="4" borderId="15" applyAlignment="1" applyProtection="1" pivotButton="0" quotePrefix="0" xfId="0">
      <alignment horizontal="center"/>
      <protection locked="0" hidden="0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4" borderId="1" pivotButton="0" quotePrefix="0" xfId="0"/>
    <xf numFmtId="0" fontId="34" fillId="8" borderId="1" pivotButton="0" quotePrefix="0" xfId="0"/>
    <xf numFmtId="0" fontId="38" fillId="0" borderId="0" applyAlignment="1" pivotButton="0" quotePrefix="0" xfId="0">
      <alignment vertical="center"/>
    </xf>
    <xf numFmtId="0" fontId="37" fillId="0" borderId="0" applyAlignment="1" pivotButton="0" quotePrefix="0" xfId="0">
      <alignment vertical="center"/>
    </xf>
    <xf numFmtId="0" fontId="0" fillId="24" borderId="0" pivotButton="0" quotePrefix="0" xfId="0"/>
    <xf numFmtId="0" fontId="0" fillId="24" borderId="0" applyAlignment="1" pivotButton="0" quotePrefix="0" xfId="0">
      <alignment horizontal="center" vertical="top"/>
    </xf>
    <xf numFmtId="0" fontId="2" fillId="24" borderId="1" pivotButton="0" quotePrefix="0" xfId="0"/>
    <xf numFmtId="0" fontId="0" fillId="24" borderId="1" applyAlignment="1" pivotButton="0" quotePrefix="0" xfId="0">
      <alignment horizontal="center" vertical="top"/>
    </xf>
    <xf numFmtId="0" fontId="2" fillId="24" borderId="1" applyAlignment="1" pivotButton="0" quotePrefix="0" xfId="0">
      <alignment horizontal="center" vertical="top"/>
    </xf>
    <xf numFmtId="0" fontId="37" fillId="24" borderId="1" applyAlignment="1" pivotButton="0" quotePrefix="0" xfId="0">
      <alignment vertical="center"/>
    </xf>
    <xf numFmtId="0" fontId="0" fillId="9" borderId="1" applyAlignment="1" pivotButton="0" quotePrefix="0" xfId="0">
      <alignment horizontal="center"/>
    </xf>
    <xf numFmtId="0" fontId="0" fillId="9" borderId="1" pivotButton="0" quotePrefix="0" xfId="0"/>
    <xf numFmtId="0" fontId="2" fillId="24" borderId="0" pivotButton="0" quotePrefix="0" xfId="0"/>
    <xf numFmtId="0" fontId="40" fillId="0" borderId="0" applyAlignment="1" pivotButton="0" quotePrefix="0" xfId="0">
      <alignment vertical="center"/>
    </xf>
    <xf numFmtId="0" fontId="39" fillId="0" borderId="0" applyAlignment="1" pivotButton="0" quotePrefix="0" xfId="0">
      <alignment vertical="center"/>
    </xf>
    <xf numFmtId="0" fontId="41" fillId="0" borderId="0" applyAlignment="1" pivotButton="0" quotePrefix="0" xfId="0">
      <alignment vertical="center"/>
    </xf>
    <xf numFmtId="164" fontId="33" fillId="19" borderId="0" applyAlignment="1" pivotButton="0" quotePrefix="0" xfId="1">
      <alignment vertical="center"/>
    </xf>
    <xf numFmtId="164" fontId="0" fillId="0" borderId="0" applyAlignment="1" pivotButton="0" quotePrefix="0" xfId="1">
      <alignment vertical="center"/>
    </xf>
    <xf numFmtId="164" fontId="24" fillId="18" borderId="0" applyAlignment="1" pivotButton="0" quotePrefix="0" xfId="1">
      <alignment vertical="center"/>
    </xf>
    <xf numFmtId="164" fontId="24" fillId="16" borderId="0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64" fontId="24" fillId="17" borderId="0" applyAlignment="1" pivotButton="0" quotePrefix="0" xfId="0">
      <alignment vertical="center"/>
    </xf>
    <xf numFmtId="164" fontId="24" fillId="16" borderId="0" applyAlignment="1" pivotButton="0" quotePrefix="0" xfId="0">
      <alignment vertical="center"/>
    </xf>
    <xf numFmtId="164" fontId="24" fillId="0" borderId="0" applyAlignment="1" pivotButton="0" quotePrefix="0" xfId="0">
      <alignment vertical="center"/>
    </xf>
    <xf numFmtId="164" fontId="24" fillId="17" borderId="0" applyAlignment="1" pivotButton="0" quotePrefix="0" xfId="1">
      <alignment vertical="center"/>
    </xf>
    <xf numFmtId="164" fontId="24" fillId="17" borderId="0" applyAlignment="1" pivotButton="0" quotePrefix="0" xfId="3">
      <alignment vertical="center"/>
    </xf>
    <xf numFmtId="0" fontId="16" fillId="3" borderId="1" applyAlignment="1" pivotButton="0" quotePrefix="0" xfId="0">
      <alignment vertical="center"/>
    </xf>
    <xf numFmtId="1" fontId="16" fillId="3" borderId="1" applyAlignment="1" pivotButton="0" quotePrefix="0" xfId="0">
      <alignment vertical="center"/>
    </xf>
    <xf numFmtId="0" fontId="34" fillId="8" borderId="1" applyAlignment="1" pivotButton="0" quotePrefix="0" xfId="0">
      <alignment horizontal="center"/>
    </xf>
    <xf numFmtId="0" fontId="0" fillId="0" borderId="0" pivotButton="0" quotePrefix="0" xfId="0"/>
    <xf numFmtId="165" fontId="16" fillId="0" borderId="0" applyAlignment="1" pivotButton="0" quotePrefix="0" xfId="1">
      <alignment vertical="center"/>
    </xf>
    <xf numFmtId="166" fontId="25" fillId="6" borderId="1" applyAlignment="1" pivotButton="0" quotePrefix="0" xfId="0">
      <alignment horizontal="center" vertical="center"/>
    </xf>
    <xf numFmtId="166" fontId="25" fillId="6" borderId="4" applyAlignment="1" pivotButton="0" quotePrefix="0" xfId="0">
      <alignment horizontal="center" vertical="center" wrapText="1"/>
    </xf>
    <xf numFmtId="166" fontId="25" fillId="6" borderId="8" applyAlignment="1" pivotButton="0" quotePrefix="0" xfId="0">
      <alignment horizontal="center" vertical="center"/>
    </xf>
    <xf numFmtId="165" fontId="22" fillId="0" borderId="0" applyAlignment="1" pivotButton="0" quotePrefix="0" xfId="1">
      <alignment vertical="center"/>
    </xf>
    <xf numFmtId="166" fontId="25" fillId="7" borderId="4" applyAlignment="1" pivotButton="0" quotePrefix="0" xfId="0">
      <alignment horizontal="center" vertical="center" wrapText="1"/>
    </xf>
    <xf numFmtId="166" fontId="25" fillId="7" borderId="1" applyAlignment="1" pivotButton="0" quotePrefix="0" xfId="0">
      <alignment horizontal="center" vertical="center"/>
    </xf>
    <xf numFmtId="165" fontId="27" fillId="0" borderId="0" applyAlignment="1" pivotButton="0" quotePrefix="0" xfId="1">
      <alignment vertical="center"/>
    </xf>
    <xf numFmtId="166" fontId="25" fillId="7" borderId="8" applyAlignment="1" pivotButton="0" quotePrefix="0" xfId="0">
      <alignment horizontal="center" vertical="center"/>
    </xf>
    <xf numFmtId="166" fontId="25" fillId="8" borderId="1" applyAlignment="1" pivotButton="0" quotePrefix="0" xfId="0">
      <alignment horizontal="center" vertical="center"/>
    </xf>
    <xf numFmtId="167" fontId="16" fillId="3" borderId="0" applyAlignment="1" pivotButton="0" quotePrefix="0" xfId="0">
      <alignment vertical="center"/>
    </xf>
    <xf numFmtId="168" fontId="16" fillId="3" borderId="0" applyAlignment="1" pivotButton="0" quotePrefix="0" xfId="1">
      <alignment vertical="center"/>
    </xf>
    <xf numFmtId="165" fontId="0" fillId="0" borderId="0" pivotButton="0" quotePrefix="0" xfId="0"/>
    <xf numFmtId="165" fontId="31" fillId="3" borderId="1" applyAlignment="1" pivotButton="0" quotePrefix="0" xfId="1">
      <alignment horizontal="right" vertical="center"/>
    </xf>
    <xf numFmtId="165" fontId="30" fillId="0" borderId="1" pivotButton="0" quotePrefix="0" xfId="1"/>
    <xf numFmtId="165" fontId="0" fillId="19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167" fontId="24" fillId="20" borderId="15" applyAlignment="1" applyProtection="1" pivotButton="0" quotePrefix="0" xfId="0">
      <alignment vertical="center"/>
      <protection locked="0" hidden="0"/>
    </xf>
    <xf numFmtId="165" fontId="24" fillId="18" borderId="0" applyAlignment="1" pivotButton="0" quotePrefix="0" xfId="1">
      <alignment vertical="center"/>
    </xf>
    <xf numFmtId="165" fontId="36" fillId="20" borderId="13" pivotButton="0" quotePrefix="0" xfId="1"/>
    <xf numFmtId="165" fontId="36" fillId="20" borderId="6" pivotButton="0" quotePrefix="0" xfId="1"/>
    <xf numFmtId="166" fontId="35" fillId="0" borderId="1" applyAlignment="1" pivotButton="0" quotePrefix="0" xfId="0">
      <alignment horizontal="center" vertical="center"/>
    </xf>
    <xf numFmtId="165" fontId="5" fillId="23" borderId="0" pivotButton="0" quotePrefix="0" xfId="1"/>
    <xf numFmtId="165" fontId="24" fillId="16" borderId="0" applyAlignment="1" pivotButton="0" quotePrefix="0" xfId="0">
      <alignment vertical="center"/>
    </xf>
    <xf numFmtId="165" fontId="0" fillId="0" borderId="0" pivotButton="0" quotePrefix="0" xfId="0"/>
    <xf numFmtId="165" fontId="5" fillId="21" borderId="0" pivotButton="0" quotePrefix="0" xfId="1"/>
    <xf numFmtId="165" fontId="24" fillId="0" borderId="0" applyAlignment="1" pivotButton="0" quotePrefix="0" xfId="0">
      <alignment vertical="center"/>
    </xf>
    <xf numFmtId="165" fontId="5" fillId="22" borderId="0" pivotButton="0" quotePrefix="0" xfId="1"/>
    <xf numFmtId="165" fontId="24" fillId="16" borderId="0" applyAlignment="1" pivotButton="0" quotePrefix="0" xfId="1">
      <alignment vertical="center"/>
    </xf>
    <xf numFmtId="165" fontId="24" fillId="0" borderId="0" applyAlignment="1" pivotButton="0" quotePrefix="0" xfId="1">
      <alignment vertical="center"/>
    </xf>
    <xf numFmtId="168" fontId="16" fillId="0" borderId="2" applyAlignment="1" pivotButton="0" quotePrefix="0" xfId="1">
      <alignment vertical="center"/>
    </xf>
    <xf numFmtId="168" fontId="16" fillId="0" borderId="1" applyAlignment="1" pivotButton="0" quotePrefix="0" xfId="1">
      <alignment vertical="center"/>
    </xf>
    <xf numFmtId="168" fontId="18" fillId="0" borderId="1" applyAlignment="1" pivotButton="0" quotePrefix="0" xfId="1">
      <alignment vertical="center"/>
    </xf>
    <xf numFmtId="169" fontId="16" fillId="3" borderId="1" applyAlignment="1" pivotButton="0" quotePrefix="0" xfId="0">
      <alignment vertical="center"/>
    </xf>
    <xf numFmtId="169" fontId="18" fillId="3" borderId="1" applyAlignment="1" pivotButton="0" quotePrefix="0" xfId="1">
      <alignment vertical="center"/>
    </xf>
    <xf numFmtId="169" fontId="16" fillId="3" borderId="1" applyAlignment="1" pivotButton="0" quotePrefix="0" xfId="1">
      <alignment vertical="center"/>
    </xf>
    <xf numFmtId="169" fontId="16" fillId="0" borderId="0" applyAlignment="1" pivotButton="0" quotePrefix="0" xfId="0">
      <alignment vertical="center"/>
    </xf>
    <xf numFmtId="169" fontId="18" fillId="4" borderId="1" applyAlignment="1" pivotButton="0" quotePrefix="0" xfId="1">
      <alignment vertical="center"/>
    </xf>
    <xf numFmtId="169" fontId="18" fillId="3" borderId="1" applyAlignment="1" pivotButton="0" quotePrefix="0" xfId="0">
      <alignment vertical="center"/>
    </xf>
    <xf numFmtId="169" fontId="20" fillId="3" borderId="1" applyAlignment="1" pivotButton="0" quotePrefix="0" xfId="1">
      <alignment vertical="center"/>
    </xf>
    <xf numFmtId="165" fontId="16" fillId="2" borderId="0" applyAlignment="1" pivotButton="0" quotePrefix="0" xfId="1">
      <alignment vertical="center"/>
    </xf>
    <xf numFmtId="169" fontId="16" fillId="2" borderId="0" applyAlignment="1" pivotButton="0" quotePrefix="0" xfId="1">
      <alignment vertical="center"/>
    </xf>
    <xf numFmtId="169" fontId="18" fillId="2" borderId="0" applyAlignment="1" pivotButton="0" quotePrefix="0" xfId="1">
      <alignment vertical="center"/>
    </xf>
    <xf numFmtId="165" fontId="18" fillId="4" borderId="5" applyAlignment="1" pivotButton="0" quotePrefix="0" xfId="1">
      <alignment horizontal="center" vertical="center"/>
    </xf>
    <xf numFmtId="165" fontId="18" fillId="4" borderId="1" applyAlignment="1" pivotButton="0" quotePrefix="0" xfId="1">
      <alignment horizontal="center" vertical="center"/>
    </xf>
    <xf numFmtId="165" fontId="18" fillId="3" borderId="0" applyAlignment="1" pivotButton="0" quotePrefix="0" xfId="1">
      <alignment horizontal="center" vertical="center"/>
    </xf>
    <xf numFmtId="165" fontId="18" fillId="0" borderId="0" applyAlignment="1" pivotButton="0" quotePrefix="0" xfId="1">
      <alignment horizontal="center" vertical="center"/>
    </xf>
    <xf numFmtId="170" fontId="16" fillId="3" borderId="1" applyAlignment="1" pivotButton="0" quotePrefix="0" xfId="0">
      <alignment horizontal="center" vertical="center"/>
    </xf>
    <xf numFmtId="170" fontId="5" fillId="0" borderId="1" applyAlignment="1" pivotButton="0" quotePrefix="0" xfId="0">
      <alignment horizontal="center"/>
    </xf>
    <xf numFmtId="165" fontId="23" fillId="0" borderId="0" applyAlignment="1" pivotButton="0" quotePrefix="0" xfId="1">
      <alignment vertical="center"/>
    </xf>
    <xf numFmtId="165" fontId="16" fillId="0" borderId="0" applyAlignment="1" pivotButton="0" quotePrefix="0" xfId="0">
      <alignment vertical="center"/>
    </xf>
    <xf numFmtId="169" fontId="16" fillId="2" borderId="0" pivotButton="0" quotePrefix="0" xfId="1"/>
    <xf numFmtId="170" fontId="16" fillId="0" borderId="1" applyAlignment="1" pivotButton="0" quotePrefix="0" xfId="0">
      <alignment horizontal="center" vertical="center"/>
    </xf>
    <xf numFmtId="170" fontId="16" fillId="0" borderId="0" applyAlignment="1" pivotButton="0" quotePrefix="0" xfId="0">
      <alignment horizontal="center" vertical="center"/>
    </xf>
    <xf numFmtId="168" fontId="5" fillId="0" borderId="1" applyAlignment="1" pivotButton="0" quotePrefix="0" xfId="1">
      <alignment vertical="center"/>
    </xf>
    <xf numFmtId="169" fontId="5" fillId="3" borderId="1" applyAlignment="1" pivotButton="0" quotePrefix="0" xfId="1">
      <alignment horizontal="right" vertical="center"/>
    </xf>
    <xf numFmtId="169" fontId="3" fillId="3" borderId="1" applyAlignment="1" pivotButton="0" quotePrefix="0" xfId="1">
      <alignment vertical="center"/>
    </xf>
    <xf numFmtId="168" fontId="5" fillId="0" borderId="0" applyAlignment="1" pivotButton="0" quotePrefix="0" xfId="1">
      <alignment vertical="center"/>
    </xf>
    <xf numFmtId="169" fontId="5" fillId="0" borderId="1" applyAlignment="1" pivotButton="0" quotePrefix="0" xfId="1">
      <alignment horizontal="right" vertical="center"/>
    </xf>
    <xf numFmtId="169" fontId="5" fillId="0" borderId="0" applyAlignment="1" pivotButton="0" quotePrefix="0" xfId="1">
      <alignment horizontal="right" vertical="center"/>
    </xf>
    <xf numFmtId="169" fontId="0" fillId="0" borderId="0" applyAlignment="1" pivotButton="0" quotePrefix="0" xfId="0">
      <alignment vertical="center"/>
    </xf>
    <xf numFmtId="169" fontId="3" fillId="4" borderId="1" applyAlignment="1" pivotButton="0" quotePrefix="0" xfId="1">
      <alignment horizontal="right" vertical="center"/>
    </xf>
    <xf numFmtId="169" fontId="3" fillId="0" borderId="0" applyAlignment="1" pivotButton="0" quotePrefix="0" xfId="1">
      <alignment horizontal="right" vertical="center"/>
    </xf>
    <xf numFmtId="169" fontId="6" fillId="3" borderId="1" applyAlignment="1" pivotButton="0" quotePrefix="0" xfId="1">
      <alignment horizontal="right" vertical="center"/>
    </xf>
    <xf numFmtId="169" fontId="6" fillId="0" borderId="0" applyAlignment="1" pivotButton="0" quotePrefix="0" xfId="1">
      <alignment horizontal="right" vertical="center"/>
    </xf>
    <xf numFmtId="165" fontId="5" fillId="0" borderId="0" applyAlignment="1" pivotButton="0" quotePrefix="0" xfId="1">
      <alignment vertical="center"/>
    </xf>
    <xf numFmtId="165" fontId="10" fillId="5" borderId="1" applyAlignment="1" pivotButton="0" quotePrefix="0" xfId="1">
      <alignment horizontal="center" vertical="center"/>
    </xf>
    <xf numFmtId="169" fontId="21" fillId="0" borderId="0" applyAlignment="1" pivotButton="0" quotePrefix="0" xfId="0">
      <alignment vertical="center"/>
    </xf>
    <xf numFmtId="170" fontId="16" fillId="3" borderId="0" applyAlignment="1" pivotButton="0" quotePrefix="0" xfId="0">
      <alignment horizontal="center" vertical="center"/>
    </xf>
    <xf numFmtId="0" fontId="16" fillId="3" borderId="1" applyAlignment="1" pivotButton="0" quotePrefix="0" xfId="0">
      <alignment vertical="center"/>
    </xf>
    <xf numFmtId="0" fontId="0" fillId="0" borderId="7" pivotButton="0" quotePrefix="0" xfId="0"/>
    <xf numFmtId="1" fontId="25" fillId="7" borderId="1" applyAlignment="1" pivotButton="0" quotePrefix="0" xfId="0">
      <alignment horizontal="center" vertical="center"/>
    </xf>
    <xf numFmtId="0" fontId="0" fillId="0" borderId="6" pivotButton="0" quotePrefix="0" xfId="0"/>
    <xf numFmtId="166" fontId="25" fillId="7" borderId="1" applyAlignment="1" pivotButton="0" quotePrefix="0" xfId="0">
      <alignment horizontal="center" vertical="center"/>
    </xf>
    <xf numFmtId="1" fontId="16" fillId="3" borderId="1" applyAlignment="1" pivotButton="0" quotePrefix="0" xfId="0">
      <alignment vertical="center"/>
    </xf>
    <xf numFmtId="1" fontId="25" fillId="8" borderId="1" applyAlignment="1" pivotButton="0" quotePrefix="0" xfId="0">
      <alignment horizontal="center" vertical="center"/>
    </xf>
    <xf numFmtId="166" fontId="25" fillId="6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3" pivotButton="0" quotePrefix="0" xfId="0"/>
    <xf numFmtId="0" fontId="0" fillId="0" borderId="13" pivotButton="0" quotePrefix="0" xfId="0"/>
    <xf numFmtId="166" fontId="25" fillId="7" borderId="1" applyAlignment="1" pivotButton="0" quotePrefix="0" xfId="0">
      <alignment horizontal="center" vertical="center" wrapText="1"/>
    </xf>
    <xf numFmtId="0" fontId="0" fillId="0" borderId="8" pivotButton="0" quotePrefix="0" xfId="0"/>
    <xf numFmtId="1" fontId="16" fillId="3" borderId="6" applyAlignment="1" pivotButton="0" quotePrefix="0" xfId="0">
      <alignment horizontal="center" vertical="center"/>
    </xf>
    <xf numFmtId="166" fontId="25" fillId="8" borderId="1" applyAlignment="1" pivotButton="0" quotePrefix="0" xfId="0">
      <alignment horizontal="center" vertical="center"/>
    </xf>
    <xf numFmtId="166" fontId="25" fillId="6" borderId="1" applyAlignment="1" pivotButton="0" quotePrefix="0" xfId="0">
      <alignment horizontal="center" vertical="center" wrapText="1"/>
    </xf>
    <xf numFmtId="1" fontId="25" fillId="6" borderId="1" applyAlignment="1" pivotButton="0" quotePrefix="0" xfId="0">
      <alignment horizontal="center" vertical="center"/>
    </xf>
    <xf numFmtId="166" fontId="25" fillId="8" borderId="1" applyAlignment="1" pivotButton="0" quotePrefix="0" xfId="0">
      <alignment horizontal="center" vertical="center" wrapText="1"/>
    </xf>
    <xf numFmtId="0" fontId="34" fillId="8" borderId="1" applyAlignment="1" pivotButton="0" quotePrefix="0" xfId="0">
      <alignment horizontal="center"/>
    </xf>
    <xf numFmtId="0" fontId="29" fillId="4" borderId="0" applyAlignment="1" pivotButton="0" quotePrefix="0" xfId="0">
      <alignment horizontal="center"/>
    </xf>
    <xf numFmtId="0" fontId="0" fillId="0" borderId="0" pivotButton="0" quotePrefix="0" xfId="0"/>
    <xf numFmtId="0" fontId="11" fillId="3" borderId="1" applyAlignment="1" pivotButton="0" quotePrefix="0" xfId="0">
      <alignment horizontal="left" vertical="center"/>
    </xf>
    <xf numFmtId="0" fontId="11" fillId="3" borderId="1" applyAlignment="1" pivotButton="0" quotePrefix="0" xfId="0">
      <alignment vertical="center"/>
    </xf>
    <xf numFmtId="165" fontId="18" fillId="4" borderId="1" applyAlignment="1" pivotButton="0" quotePrefix="0" xfId="1">
      <alignment horizontal="right" vertical="center"/>
    </xf>
    <xf numFmtId="0" fontId="16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/>
    </xf>
    <xf numFmtId="0" fontId="18" fillId="4" borderId="1" applyAlignment="1" pivotButton="0" quotePrefix="0" xfId="0">
      <alignment horizontal="right" vertical="center"/>
    </xf>
    <xf numFmtId="0" fontId="3" fillId="0" borderId="1" pivotButton="0" quotePrefix="0" xfId="0"/>
    <xf numFmtId="0" fontId="20" fillId="4" borderId="1" applyAlignment="1" pivotButton="0" quotePrefix="0" xfId="0">
      <alignment horizontal="left" vertical="center"/>
    </xf>
    <xf numFmtId="0" fontId="18" fillId="3" borderId="1" applyAlignment="1" pivotButton="0" quotePrefix="0" xfId="0">
      <alignment horizontal="right" vertical="center"/>
    </xf>
    <xf numFmtId="0" fontId="16" fillId="14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left" vertical="center"/>
    </xf>
    <xf numFmtId="0" fontId="16" fillId="12" borderId="1" applyAlignment="1" pivotButton="0" quotePrefix="0" xfId="0">
      <alignment horizontal="left" vertical="center"/>
    </xf>
    <xf numFmtId="0" fontId="16" fillId="10" borderId="1" applyAlignment="1" pivotButton="0" quotePrefix="0" xfId="0">
      <alignment horizontal="left" vertical="center"/>
    </xf>
    <xf numFmtId="0" fontId="16" fillId="13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left" vertical="center"/>
    </xf>
    <xf numFmtId="0" fontId="16" fillId="15" borderId="1" applyAlignment="1" pivotButton="0" quotePrefix="0" xfId="0">
      <alignment horizontal="left" vertical="center"/>
    </xf>
    <xf numFmtId="0" fontId="16" fillId="3" borderId="5" applyAlignment="1" pivotButton="0" quotePrefix="0" xfId="0">
      <alignment horizontal="left" vertical="center"/>
    </xf>
    <xf numFmtId="0" fontId="20" fillId="4" borderId="5" applyAlignment="1" pivotButton="0" quotePrefix="0" xfId="0">
      <alignment horizontal="left" vertical="center"/>
    </xf>
    <xf numFmtId="0" fontId="17" fillId="2" borderId="1" applyAlignment="1" pivotButton="0" quotePrefix="0" xfId="0">
      <alignment horizontal="left" vertical="center"/>
    </xf>
    <xf numFmtId="165" fontId="3" fillId="4" borderId="1" applyAlignment="1" pivotButton="0" quotePrefix="0" xfId="1">
      <alignment horizontal="right" vertical="center"/>
    </xf>
    <xf numFmtId="0" fontId="14" fillId="3" borderId="16" applyAlignment="1" pivotButton="0" quotePrefix="0" xfId="0">
      <alignment horizontal="left" vertical="center"/>
    </xf>
    <xf numFmtId="0" fontId="0" fillId="0" borderId="10" pivotButton="0" quotePrefix="0" xfId="0"/>
    <xf numFmtId="0" fontId="6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165" fontId="16" fillId="0" borderId="0" applyAlignment="1" pivotButton="0" quotePrefix="0" xfId="1">
      <alignment vertical="center"/>
    </xf>
    <xf numFmtId="166" fontId="25" fillId="6" borderId="1" applyAlignment="1" pivotButton="0" quotePrefix="0" xfId="0">
      <alignment horizontal="center" vertical="center"/>
    </xf>
    <xf numFmtId="166" fontId="25" fillId="6" borderId="4" applyAlignment="1" pivotButton="0" quotePrefix="0" xfId="0">
      <alignment horizontal="center" vertical="center" wrapText="1"/>
    </xf>
    <xf numFmtId="166" fontId="25" fillId="6" borderId="1" applyAlignment="1" pivotButton="0" quotePrefix="0" xfId="0">
      <alignment horizontal="center" vertical="center" wrapText="1"/>
    </xf>
    <xf numFmtId="166" fontId="25" fillId="6" borderId="8" applyAlignment="1" pivotButton="0" quotePrefix="0" xfId="0">
      <alignment horizontal="center" vertical="center"/>
    </xf>
    <xf numFmtId="165" fontId="22" fillId="0" borderId="0" applyAlignment="1" pivotButton="0" quotePrefix="0" xfId="1">
      <alignment vertical="center"/>
    </xf>
    <xf numFmtId="166" fontId="25" fillId="7" borderId="4" applyAlignment="1" pivotButton="0" quotePrefix="0" xfId="0">
      <alignment horizontal="center" vertical="center" wrapText="1"/>
    </xf>
    <xf numFmtId="166" fontId="25" fillId="7" borderId="1" applyAlignment="1" pivotButton="0" quotePrefix="0" xfId="0">
      <alignment horizontal="center" vertical="center"/>
    </xf>
    <xf numFmtId="166" fontId="25" fillId="7" borderId="1" applyAlignment="1" pivotButton="0" quotePrefix="0" xfId="0">
      <alignment horizontal="center" vertical="center" wrapText="1"/>
    </xf>
    <xf numFmtId="165" fontId="27" fillId="0" borderId="0" applyAlignment="1" pivotButton="0" quotePrefix="0" xfId="1">
      <alignment vertical="center"/>
    </xf>
    <xf numFmtId="166" fontId="25" fillId="7" borderId="8" applyAlignment="1" pivotButton="0" quotePrefix="0" xfId="0">
      <alignment horizontal="center" vertical="center"/>
    </xf>
    <xf numFmtId="166" fontId="25" fillId="8" borderId="1" applyAlignment="1" pivotButton="0" quotePrefix="0" xfId="0">
      <alignment horizontal="center" vertical="center" wrapText="1"/>
    </xf>
    <xf numFmtId="166" fontId="25" fillId="8" borderId="1" applyAlignment="1" pivotButton="0" quotePrefix="0" xfId="0">
      <alignment horizontal="center" vertical="center"/>
    </xf>
    <xf numFmtId="167" fontId="16" fillId="3" borderId="0" applyAlignment="1" pivotButton="0" quotePrefix="0" xfId="0">
      <alignment vertical="center"/>
    </xf>
    <xf numFmtId="168" fontId="16" fillId="3" borderId="0" applyAlignment="1" pivotButton="0" quotePrefix="0" xfId="1">
      <alignment vertical="center"/>
    </xf>
    <xf numFmtId="43" fontId="0" fillId="0" borderId="0" pivotButton="0" quotePrefix="0" xfId="0"/>
    <xf numFmtId="165" fontId="31" fillId="3" borderId="1" applyAlignment="1" pivotButton="0" quotePrefix="0" xfId="1">
      <alignment horizontal="right" vertical="center"/>
    </xf>
    <xf numFmtId="165" fontId="30" fillId="0" borderId="1" pivotButton="0" quotePrefix="0" xfId="1"/>
    <xf numFmtId="164" fontId="33" fillId="19" borderId="0" applyAlignment="1" pivotButton="0" quotePrefix="0" xfId="1">
      <alignment vertical="center"/>
    </xf>
    <xf numFmtId="165" fontId="0" fillId="19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167" fontId="24" fillId="20" borderId="15" applyAlignment="1" applyProtection="1" pivotButton="0" quotePrefix="0" xfId="0">
      <alignment vertical="center"/>
      <protection locked="0" hidden="0"/>
    </xf>
    <xf numFmtId="164" fontId="0" fillId="0" borderId="0" applyAlignment="1" pivotButton="0" quotePrefix="0" xfId="1">
      <alignment vertical="center"/>
    </xf>
    <xf numFmtId="164" fontId="24" fillId="18" borderId="0" applyAlignment="1" pivotButton="0" quotePrefix="0" xfId="1">
      <alignment vertical="center"/>
    </xf>
    <xf numFmtId="165" fontId="24" fillId="18" borderId="0" applyAlignment="1" pivotButton="0" quotePrefix="0" xfId="1">
      <alignment vertical="center"/>
    </xf>
    <xf numFmtId="165" fontId="36" fillId="20" borderId="13" pivotButton="0" quotePrefix="0" xfId="1"/>
    <xf numFmtId="164" fontId="24" fillId="16" borderId="0" applyAlignment="1" pivotButton="0" quotePrefix="0" xfId="1">
      <alignment vertical="center"/>
    </xf>
    <xf numFmtId="165" fontId="36" fillId="20" borderId="6" pivotButton="0" quotePrefix="0" xfId="1"/>
    <xf numFmtId="164" fontId="0" fillId="0" borderId="0" applyAlignment="1" pivotButton="0" quotePrefix="0" xfId="0">
      <alignment vertical="center"/>
    </xf>
    <xf numFmtId="164" fontId="24" fillId="17" borderId="0" applyAlignment="1" pivotButton="0" quotePrefix="0" xfId="0">
      <alignment vertical="center"/>
    </xf>
    <xf numFmtId="164" fontId="24" fillId="16" borderId="0" applyAlignment="1" pivotButton="0" quotePrefix="0" xfId="0">
      <alignment vertical="center"/>
    </xf>
    <xf numFmtId="164" fontId="24" fillId="0" borderId="0" applyAlignment="1" pivotButton="0" quotePrefix="0" xfId="0">
      <alignment vertical="center"/>
    </xf>
    <xf numFmtId="166" fontId="35" fillId="0" borderId="1" applyAlignment="1" pivotButton="0" quotePrefix="0" xfId="0">
      <alignment horizontal="center" vertical="center"/>
    </xf>
    <xf numFmtId="164" fontId="24" fillId="17" borderId="0" applyAlignment="1" pivotButton="0" quotePrefix="0" xfId="1">
      <alignment vertical="center"/>
    </xf>
    <xf numFmtId="165" fontId="5" fillId="23" borderId="0" pivotButton="0" quotePrefix="0" xfId="1"/>
    <xf numFmtId="165" fontId="24" fillId="16" borderId="0" applyAlignment="1" pivotButton="0" quotePrefix="0" xfId="0">
      <alignment vertical="center"/>
    </xf>
    <xf numFmtId="165" fontId="0" fillId="0" borderId="0" pivotButton="0" quotePrefix="0" xfId="0"/>
    <xf numFmtId="165" fontId="5" fillId="21" borderId="0" pivotButton="0" quotePrefix="0" xfId="1"/>
    <xf numFmtId="165" fontId="24" fillId="0" borderId="0" applyAlignment="1" pivotButton="0" quotePrefix="0" xfId="0">
      <alignment vertical="center"/>
    </xf>
    <xf numFmtId="165" fontId="5" fillId="22" borderId="0" pivotButton="0" quotePrefix="0" xfId="1"/>
    <xf numFmtId="164" fontId="24" fillId="17" borderId="0" applyAlignment="1" pivotButton="0" quotePrefix="0" xfId="3">
      <alignment vertical="center"/>
    </xf>
    <xf numFmtId="165" fontId="24" fillId="16" borderId="0" applyAlignment="1" pivotButton="0" quotePrefix="0" xfId="1">
      <alignment vertical="center"/>
    </xf>
    <xf numFmtId="165" fontId="24" fillId="0" borderId="0" applyAlignment="1" pivotButton="0" quotePrefix="0" xfId="1">
      <alignment vertical="center"/>
    </xf>
    <xf numFmtId="168" fontId="16" fillId="0" borderId="2" applyAlignment="1" pivotButton="0" quotePrefix="0" xfId="1">
      <alignment vertical="center"/>
    </xf>
    <xf numFmtId="168" fontId="16" fillId="0" borderId="1" applyAlignment="1" pivotButton="0" quotePrefix="0" xfId="1">
      <alignment vertical="center"/>
    </xf>
    <xf numFmtId="168" fontId="18" fillId="0" borderId="1" applyAlignment="1" pivotButton="0" quotePrefix="0" xfId="1">
      <alignment vertical="center"/>
    </xf>
    <xf numFmtId="169" fontId="16" fillId="3" borderId="1" applyAlignment="1" pivotButton="0" quotePrefix="0" xfId="0">
      <alignment vertical="center"/>
    </xf>
    <xf numFmtId="169" fontId="18" fillId="3" borderId="1" applyAlignment="1" pivotButton="0" quotePrefix="0" xfId="1">
      <alignment vertical="center"/>
    </xf>
    <xf numFmtId="169" fontId="16" fillId="3" borderId="1" applyAlignment="1" pivotButton="0" quotePrefix="0" xfId="1">
      <alignment vertical="center"/>
    </xf>
    <xf numFmtId="169" fontId="16" fillId="0" borderId="0" applyAlignment="1" pivotButton="0" quotePrefix="0" xfId="0">
      <alignment vertical="center"/>
    </xf>
    <xf numFmtId="169" fontId="18" fillId="4" borderId="1" applyAlignment="1" pivotButton="0" quotePrefix="0" xfId="1">
      <alignment vertical="center"/>
    </xf>
    <xf numFmtId="169" fontId="18" fillId="3" borderId="1" applyAlignment="1" pivotButton="0" quotePrefix="0" xfId="0">
      <alignment vertical="center"/>
    </xf>
    <xf numFmtId="169" fontId="20" fillId="3" borderId="1" applyAlignment="1" pivotButton="0" quotePrefix="0" xfId="1">
      <alignment vertical="center"/>
    </xf>
    <xf numFmtId="165" fontId="18" fillId="4" borderId="1" applyAlignment="1" pivotButton="0" quotePrefix="0" xfId="1">
      <alignment horizontal="right" vertical="center"/>
    </xf>
    <xf numFmtId="165" fontId="16" fillId="2" borderId="0" applyAlignment="1" pivotButton="0" quotePrefix="0" xfId="1">
      <alignment vertical="center"/>
    </xf>
    <xf numFmtId="169" fontId="16" fillId="2" borderId="0" applyAlignment="1" pivotButton="0" quotePrefix="0" xfId="1">
      <alignment vertical="center"/>
    </xf>
    <xf numFmtId="169" fontId="18" fillId="2" borderId="0" applyAlignment="1" pivotButton="0" quotePrefix="0" xfId="1">
      <alignment vertical="center"/>
    </xf>
    <xf numFmtId="165" fontId="18" fillId="4" borderId="5" applyAlignment="1" pivotButton="0" quotePrefix="0" xfId="1">
      <alignment horizontal="center" vertical="center"/>
    </xf>
    <xf numFmtId="165" fontId="18" fillId="4" borderId="1" applyAlignment="1" pivotButton="0" quotePrefix="0" xfId="1">
      <alignment horizontal="center" vertical="center"/>
    </xf>
    <xf numFmtId="165" fontId="18" fillId="3" borderId="0" applyAlignment="1" pivotButton="0" quotePrefix="0" xfId="1">
      <alignment horizontal="center" vertical="center"/>
    </xf>
    <xf numFmtId="165" fontId="18" fillId="0" borderId="0" applyAlignment="1" pivotButton="0" quotePrefix="0" xfId="1">
      <alignment horizontal="center" vertical="center"/>
    </xf>
    <xf numFmtId="170" fontId="16" fillId="3" borderId="1" applyAlignment="1" pivotButton="0" quotePrefix="0" xfId="0">
      <alignment horizontal="center" vertical="center"/>
    </xf>
    <xf numFmtId="170" fontId="5" fillId="0" borderId="1" applyAlignment="1" pivotButton="0" quotePrefix="0" xfId="0">
      <alignment horizontal="center"/>
    </xf>
    <xf numFmtId="165" fontId="23" fillId="0" borderId="0" applyAlignment="1" pivotButton="0" quotePrefix="0" xfId="1">
      <alignment vertical="center"/>
    </xf>
    <xf numFmtId="165" fontId="16" fillId="0" borderId="0" applyAlignment="1" pivotButton="0" quotePrefix="0" xfId="0">
      <alignment vertical="center"/>
    </xf>
    <xf numFmtId="169" fontId="16" fillId="2" borderId="0" pivotButton="0" quotePrefix="0" xfId="1"/>
    <xf numFmtId="170" fontId="16" fillId="0" borderId="1" applyAlignment="1" pivotButton="0" quotePrefix="0" xfId="0">
      <alignment horizontal="center" vertical="center"/>
    </xf>
    <xf numFmtId="170" fontId="16" fillId="0" borderId="0" applyAlignment="1" pivotButton="0" quotePrefix="0" xfId="0">
      <alignment horizontal="center" vertical="center"/>
    </xf>
    <xf numFmtId="168" fontId="5" fillId="0" borderId="1" applyAlignment="1" pivotButton="0" quotePrefix="0" xfId="1">
      <alignment vertical="center"/>
    </xf>
    <xf numFmtId="169" fontId="5" fillId="3" borderId="1" applyAlignment="1" pivotButton="0" quotePrefix="0" xfId="1">
      <alignment horizontal="right" vertical="center"/>
    </xf>
    <xf numFmtId="169" fontId="3" fillId="3" borderId="1" applyAlignment="1" pivotButton="0" quotePrefix="0" xfId="1">
      <alignment vertical="center"/>
    </xf>
    <xf numFmtId="168" fontId="5" fillId="0" borderId="0" applyAlignment="1" pivotButton="0" quotePrefix="0" xfId="1">
      <alignment vertical="center"/>
    </xf>
    <xf numFmtId="169" fontId="5" fillId="0" borderId="1" applyAlignment="1" pivotButton="0" quotePrefix="0" xfId="1">
      <alignment horizontal="right" vertical="center"/>
    </xf>
    <xf numFmtId="169" fontId="5" fillId="0" borderId="0" applyAlignment="1" pivotButton="0" quotePrefix="0" xfId="1">
      <alignment horizontal="right" vertical="center"/>
    </xf>
    <xf numFmtId="169" fontId="0" fillId="0" borderId="0" applyAlignment="1" pivotButton="0" quotePrefix="0" xfId="0">
      <alignment vertical="center"/>
    </xf>
    <xf numFmtId="169" fontId="3" fillId="4" borderId="1" applyAlignment="1" pivotButton="0" quotePrefix="0" xfId="1">
      <alignment horizontal="right" vertical="center"/>
    </xf>
    <xf numFmtId="169" fontId="3" fillId="0" borderId="0" applyAlignment="1" pivotButton="0" quotePrefix="0" xfId="1">
      <alignment horizontal="right" vertical="center"/>
    </xf>
    <xf numFmtId="169" fontId="6" fillId="3" borderId="1" applyAlignment="1" pivotButton="0" quotePrefix="0" xfId="1">
      <alignment horizontal="right" vertical="center"/>
    </xf>
    <xf numFmtId="169" fontId="6" fillId="0" borderId="0" applyAlignment="1" pivotButton="0" quotePrefix="0" xfId="1">
      <alignment horizontal="right" vertical="center"/>
    </xf>
    <xf numFmtId="165" fontId="3" fillId="4" borderId="1" applyAlignment="1" pivotButton="0" quotePrefix="0" xfId="1">
      <alignment horizontal="right" vertical="center"/>
    </xf>
    <xf numFmtId="165" fontId="5" fillId="0" borderId="0" applyAlignment="1" pivotButton="0" quotePrefix="0" xfId="1">
      <alignment vertical="center"/>
    </xf>
    <xf numFmtId="165" fontId="10" fillId="5" borderId="1" applyAlignment="1" pivotButton="0" quotePrefix="0" xfId="1">
      <alignment horizontal="center" vertical="center"/>
    </xf>
    <xf numFmtId="169" fontId="21" fillId="0" borderId="0" applyAlignment="1" pivotButton="0" quotePrefix="0" xfId="0">
      <alignment vertical="center"/>
    </xf>
    <xf numFmtId="170" fontId="16" fillId="3" borderId="0" applyAlignment="1" pivotButton="0" quotePrefix="0" xfId="0">
      <alignment horizontal="center" vertical="center"/>
    </xf>
  </cellXfs>
  <cellStyles count="5">
    <cellStyle name="Normal" xfId="0" builtinId="0"/>
    <cellStyle name="Vírgula" xfId="1" builtinId="3"/>
    <cellStyle name="Normal 3" xfId="2"/>
    <cellStyle name="Moeda" xfId="3" builtinId="4"/>
    <cellStyle name="Porcentagem" xfId="4" builtinId="5"/>
  </cellStyles>
  <dxfs count="12">
    <dxf>
      <fill>
        <patternFill patternType="mediumGray">
          <bgColor theme="0" tint="-0.0499893185216834"/>
        </patternFill>
      </fill>
    </dxf>
    <dxf>
      <fill>
        <patternFill patternType="lightGray">
          <bgColor theme="0" tint="-0.0499893185216834"/>
        </patternFill>
      </fill>
    </dxf>
    <dxf>
      <fill>
        <patternFill patternType="mediumGray">
          <bgColor theme="0" tint="-0.0499893185216834"/>
        </patternFill>
      </fill>
    </dxf>
    <dxf>
      <fill>
        <patternFill patternType="mediumGray"/>
      </fill>
    </dxf>
    <dxf>
      <fill>
        <patternFill patternType="mediumGray">
          <bgColor theme="0" tint="-0.0499893185216834"/>
        </patternFill>
      </fill>
    </dxf>
    <dxf>
      <fill>
        <patternFill patternType="mediumGray">
          <bgColor theme="0" tint="-0.0499893185216834"/>
        </patternFill>
      </fill>
    </dxf>
    <dxf>
      <fill>
        <patternFill patternType="mediumGray">
          <bgColor theme="0" tint="-0.0499893185216834"/>
        </patternFill>
      </fill>
    </dxf>
    <dxf>
      <fill>
        <patternFill patternType="lightGray">
          <bgColor theme="0" tint="-0.0499893185216834"/>
        </patternFill>
      </fill>
    </dxf>
    <dxf>
      <fill>
        <patternFill patternType="mediumGray">
          <bgColor theme="0" tint="-0.0499893185216834"/>
        </patternFill>
      </fill>
    </dxf>
    <dxf>
      <fill>
        <patternFill patternType="gray125">
          <bgColor theme="0" tint="-0.0499893185216834"/>
        </patternFill>
      </fill>
    </dxf>
    <dxf>
      <fill>
        <patternFill patternType="lightGray">
          <bgColor theme="0" tint="-0.0499893185216834"/>
        </patternFill>
      </fill>
    </dxf>
    <dxf>
      <fill>
        <patternFill patternType="gray125">
          <bgColor theme="0" tint="-0.049989318521683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3112763424465842"/>
          <y val="0.1717129277759199"/>
          <w val="0.9021714460758719"/>
          <h val="0.7208876494604841"/>
        </manualLayout>
      </layout>
      <barChart>
        <barDir val="bar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solidFill xmlns:a="http://schemas.openxmlformats.org/drawingml/2006/main">
                <a:schemeClr val="accent3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 xmlns:a="http://schemas.openxmlformats.org/drawingml/2006/main">
                <a:schemeClr val="accent3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7"/>
            <invertIfNegative val="0"/>
            <bubble3D val="0"/>
            <spPr>
              <a:solidFill xmlns:a="http://schemas.openxmlformats.org/drawingml/2006/main">
                <a:schemeClr val="accent3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0"/>
            <invertIfNegative val="0"/>
            <bubble3D val="0"/>
            <spPr>
              <a:solidFill xmlns:a="http://schemas.openxmlformats.org/drawingml/2006/main">
                <a:schemeClr val="accent3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3"/>
            <invertIfNegative val="0"/>
            <bubble3D val="0"/>
            <spPr>
              <a:solidFill xmlns:a="http://schemas.openxmlformats.org/drawingml/2006/main">
                <a:schemeClr val="accent3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8"/>
            <invertIfNegative val="0"/>
            <bubble3D val="0"/>
            <spPr>
              <a:solidFill xmlns:a="http://schemas.openxmlformats.org/drawingml/2006/main">
                <a:schemeClr val="accent3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solidFill xmlns:a="http://schemas.openxmlformats.org/drawingml/2006/main">
                <a:schemeClr val="lt1"/>
              </a:solidFill>
              <a:ln xmlns:a="http://schemas.openxmlformats.org/drawingml/2006/main">
                <a:solidFill>
                  <a:schemeClr val="dk1">
                    <a:lumMod val="25000"/>
                    <a:lumOff val="75000"/>
                  </a:scheme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Análise!$B$9:$B$27</f>
              <strCache>
                <ptCount val="19"/>
                <pt idx="0">
                  <v>Recebido  (Projeto)</v>
                </pt>
                <pt idx="1">
                  <v>Recebimento  - Fapeu</v>
                </pt>
                <pt idx="3">
                  <v>À receber (Projeto)</v>
                </pt>
                <pt idx="4">
                  <v>À Receber FAPEU</v>
                </pt>
                <pt idx="6">
                  <v>Gastos realizados (Projeto)</v>
                </pt>
                <pt idx="7">
                  <v>Gastos Realizado - Fapeu</v>
                </pt>
                <pt idx="9">
                  <v>Saldo financeiro projeto</v>
                </pt>
                <pt idx="10">
                  <v>Saldo Financeiro Fapeu</v>
                </pt>
                <pt idx="12">
                  <v>Saldo Restante (Projeto)</v>
                </pt>
                <pt idx="13">
                  <v>Saldo Restante Fapeu</v>
                </pt>
                <pt idx="15">
                  <v>Gastos programados (Projeto)</v>
                </pt>
                <pt idx="17">
                  <v>Resultado Previsto (Projeto)</v>
                </pt>
                <pt idx="18">
                  <v>Resultado Previsto FAPEU</v>
                </pt>
              </strCache>
            </strRef>
          </cat>
          <val>
            <numRef>
              <f>Análise!$E$9:$E$27</f>
              <numCache>
                <formatCode>0.00%</formatCode>
                <ptCount val="19"/>
                <pt idx="0">
                  <v>0.04413366954910624</v>
                </pt>
                <pt idx="1">
                  <v>0.09471314562189688</v>
                </pt>
                <pt idx="3">
                  <v>0.9558663304508938</v>
                </pt>
                <pt idx="4">
                  <v>0.9052868543781031</v>
                </pt>
                <pt idx="6">
                  <v>0.03016429631784082</v>
                </pt>
                <pt idx="7">
                  <v>0.07494769728253962</v>
                </pt>
                <pt idx="9">
                  <v>0.01396937323126542</v>
                </pt>
                <pt idx="10">
                  <v>0.01976544833935726</v>
                </pt>
                <pt idx="12">
                  <v>0.9698357036821592</v>
                </pt>
                <pt idx="13">
                  <v>0.9250523027174603</v>
                </pt>
                <pt idx="15">
                  <v>0.6979868491589655</v>
                </pt>
                <pt idx="17">
                  <v>0.2718488545231937</v>
                </pt>
                <pt idx="18">
                  <v>0.2270654535584948</v>
                </pt>
              </numCache>
            </numRef>
          </val>
        </ser>
        <dLbls>
          <dLblPos val="inEnd"/>
          <showLegendKey val="0"/>
          <showVal val="1"/>
          <showCatName val="0"/>
          <showSerName val="0"/>
          <showPercent val="0"/>
          <showBubbleSize val="0"/>
        </dLbls>
        <gapWidth val="182"/>
        <axId val="1779940223"/>
        <axId val="1846181839"/>
      </barChart>
      <catAx>
        <axId val="1779940223"/>
        <scaling>
          <orientation val="maxMin"/>
        </scaling>
        <delete val="1"/>
        <axPos val="l"/>
        <numFmt formatCode="General" sourceLinked="1"/>
        <majorTickMark val="none"/>
        <minorTickMark val="none"/>
        <tickLblPos val="low"/>
        <crossAx val="1846181839"/>
        <crosses val="autoZero"/>
        <auto val="1"/>
        <lblAlgn val="ctr"/>
        <lblOffset val="100"/>
        <noMultiLvlLbl val="1"/>
      </catAx>
      <valAx>
        <axId val="1846181839"/>
        <scaling>
          <orientation val="minMax"/>
        </scaling>
        <delete val="1"/>
        <axPos val="t"/>
        <majorGridlines>
          <spPr>
            <a:ln xmlns:a="http://schemas.openxmlformats.org/drawingml/2006/main" w="9525" cap="flat" cmpd="sng" algn="ctr">
              <a:noFill/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crossAx val="1779940223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423717097091258"/>
          <y val="0.171712962962963"/>
          <w val="0.8893019236792932"/>
          <h val="0.7773611111111111"/>
        </manualLayout>
      </layout>
      <lineChart>
        <grouping val="standard"/>
        <varyColors val="0"/>
        <ser>
          <idx val="0"/>
          <order val="0"/>
          <tx>
            <strRef>
              <f>Análise!$I$17</f>
              <strCache>
                <ptCount val="1"/>
                <pt idx="0">
                  <v>Saldo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Análise!$J$18:$W$18</f>
              <numCache>
                <formatCode>General</formatCode>
                <ptCount val="14"/>
              </numCache>
            </numRef>
          </cat>
          <val>
            <numRef>
              <f>Análise!$J$17:$W$17</f>
              <numCache>
                <formatCode>_(* #,##0.00_);_(* \(#,##0.00\);_(* "-"??_);_(@_)</formatCode>
                <ptCount val="14"/>
                <pt idx="1">
                  <v>84859.22141234353</v>
                </pt>
                <pt idx="2">
                  <v>147708.5547881109</v>
                </pt>
                <pt idx="3">
                  <v>229767.584291951</v>
                </pt>
                <pt idx="4">
                  <v>302126.6137994393</v>
                </pt>
                <pt idx="5">
                  <v>382085.6433048591</v>
                </pt>
                <pt idx="6">
                  <v>452344.672813927</v>
                </pt>
                <pt idx="7">
                  <v>537153.7064914936</v>
                </pt>
                <pt idx="8">
                  <v>607412.7360005616</v>
                </pt>
                <pt idx="9">
                  <v>677671.7655096296</v>
                </pt>
                <pt idx="10">
                  <v>752773.4703856618</v>
                </pt>
                <pt idx="11">
                  <v>818175.1752653422</v>
                </pt>
                <pt idx="12">
                  <v>846967.7057702786</v>
                </pt>
                <pt idx="13">
                  <v>947266.0708082526</v>
                </pt>
              </numCache>
            </numRef>
          </val>
          <smooth val="0"/>
        </ser>
        <dLbls>
          <dLblPos val="t"/>
          <showLegendKey val="0"/>
          <showVal val="1"/>
          <showCatName val="0"/>
          <showSerName val="0"/>
          <showPercent val="0"/>
          <showBubbleSize val="0"/>
        </dLbls>
        <smooth val="0"/>
        <axId val="598992456"/>
        <axId val="598992816"/>
      </lineChart>
      <catAx>
        <axId val="5989924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598992816"/>
        <crosses val="autoZero"/>
        <auto val="1"/>
        <lblAlgn val="ctr"/>
        <lblOffset val="100"/>
        <noMultiLvlLbl val="0"/>
      </catAx>
      <valAx>
        <axId val="59899281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59899245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Rildo Andrade</author>
  </authors>
  <commentList>
    <comment ref="B22" authorId="0" shapeId="0">
      <text>
        <t xml:space="preserve">Recebe 25,74% pelo SAFF
</t>
      </text>
    </comment>
    <comment ref="B27" authorId="0" shapeId="0">
      <text>
        <t xml:space="preserve">Recebe 78,62% pelo SAFF
</t>
      </text>
    </comment>
    <comment ref="B30" authorId="0" shapeId="0">
      <text>
        <t xml:space="preserve">Recebe 81,44% pelo SAFF
</t>
      </text>
    </comment>
    <comment ref="B59" authorId="0" shapeId="0">
      <text>
        <t xml:space="preserve">Recebe 45,84% pelo SAFF
</t>
      </text>
    </comment>
  </commentList>
</comments>
</file>

<file path=xl/comments/comment2.xml><?xml version="1.0" encoding="utf-8"?>
<comments xmlns="http://schemas.openxmlformats.org/spreadsheetml/2006/main">
  <authors>
    <author>Rildo Andrade</author>
  </authors>
  <commentList>
    <comment ref="B9" authorId="0" shapeId="0">
      <text>
        <t xml:space="preserve">Recebe 53,47% pelo SAFF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5</col>
      <colOff>28575</colOff>
      <row>5</row>
      <rowOff>104775</rowOff>
    </from>
    <to>
      <col>8</col>
      <colOff>0</colOff>
      <row>30</row>
      <rowOff>57150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2019299</colOff>
      <row>17</row>
      <rowOff>104775</rowOff>
    </from>
    <to>
      <col>23</col>
      <colOff>28575</colOff>
      <row>32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view="pageBreakPreview" topLeftCell="A16" zoomScaleNormal="100" zoomScaleSheetLayoutView="100" zoomScalePageLayoutView="85" workbookViewId="0">
      <selection activeCell="E27" sqref="E27"/>
    </sheetView>
    <sheetView topLeftCell="A22" workbookViewId="1">
      <selection activeCell="R32" sqref="R32"/>
    </sheetView>
  </sheetViews>
  <sheetFormatPr baseColWidth="8" defaultColWidth="9.28515625" defaultRowHeight="12"/>
  <cols>
    <col width="3.28515625" customWidth="1" style="89" min="1" max="1"/>
    <col width="10.85546875" customWidth="1" style="89" min="2" max="2"/>
    <col width="13.85546875" customWidth="1" style="89" min="3" max="3"/>
    <col width="11.85546875" customWidth="1" style="89" min="4" max="4"/>
    <col width="12.42578125" customWidth="1" style="89" min="5" max="5"/>
    <col width="10.7109375" customWidth="1" style="89" min="6" max="8"/>
    <col width="9.42578125" customWidth="1" style="106" min="9" max="9"/>
    <col width="9" customWidth="1" style="106" min="10" max="10"/>
    <col width="10.7109375" customWidth="1" style="106" min="11" max="12"/>
    <col width="9" customWidth="1" style="106" min="13" max="13"/>
    <col width="10.7109375" customWidth="1" style="106" min="14" max="14"/>
    <col width="10.140625" customWidth="1" style="106" min="15" max="15"/>
    <col width="10.7109375" customWidth="1" style="106" min="16" max="17"/>
    <col width="13.28515625" customWidth="1" style="106" min="18" max="18"/>
    <col width="10.7109375" customWidth="1" style="106" min="19" max="19"/>
    <col width="12" bestFit="1" customWidth="1" style="303" min="20" max="20"/>
    <col width="9.28515625" customWidth="1" style="89" min="21" max="22"/>
    <col width="9.28515625" customWidth="1" style="89" min="23" max="16384"/>
  </cols>
  <sheetData>
    <row r="1" ht="20.1" customHeight="1" s="276">
      <c r="A1" s="304" t="inlineStr">
        <is>
          <t xml:space="preserve">Nº </t>
        </is>
      </c>
      <c r="B1" s="304" t="inlineStr">
        <is>
          <t>Projeto</t>
        </is>
      </c>
      <c r="C1" s="262" t="n"/>
      <c r="D1" s="304" t="inlineStr">
        <is>
          <t>Contratado</t>
        </is>
      </c>
      <c r="E1" s="305" t="inlineStr">
        <is>
          <t>Rec até</t>
        </is>
      </c>
      <c r="F1" s="304" t="inlineStr">
        <is>
          <t>A Receber</t>
        </is>
      </c>
      <c r="G1" s="257" t="n"/>
      <c r="H1" s="257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5" t="n"/>
      <c r="S1" s="306" t="inlineStr">
        <is>
          <t>Total a Receber</t>
        </is>
      </c>
    </row>
    <row r="2" ht="20.1" customFormat="1" customHeight="1" s="90">
      <c r="A2" s="268" t="n"/>
      <c r="B2" s="263" t="n"/>
      <c r="C2" s="264" t="n"/>
      <c r="D2" s="268" t="n"/>
      <c r="E2" s="307" t="n">
        <v>46173</v>
      </c>
      <c r="F2" s="304" t="n">
        <v>46174</v>
      </c>
      <c r="G2" s="304" t="n">
        <v>46204</v>
      </c>
      <c r="H2" s="304" t="n">
        <v>46235</v>
      </c>
      <c r="I2" s="304" t="n">
        <v>46266</v>
      </c>
      <c r="J2" s="304" t="n">
        <v>46296</v>
      </c>
      <c r="K2" s="304" t="n">
        <v>46327</v>
      </c>
      <c r="L2" s="304" t="n">
        <v>46357</v>
      </c>
      <c r="M2" s="304" t="n">
        <v>46388</v>
      </c>
      <c r="N2" s="304" t="n">
        <v>46419</v>
      </c>
      <c r="O2" s="304" t="n">
        <v>46447</v>
      </c>
      <c r="P2" s="304" t="n">
        <v>46478</v>
      </c>
      <c r="Q2" s="304" t="n">
        <v>46508</v>
      </c>
      <c r="R2" s="304" t="inlineStr">
        <is>
          <t>jun/27 a dez/28</t>
        </is>
      </c>
      <c r="S2" s="268" t="n"/>
      <c r="T2" s="308" t="n"/>
    </row>
    <row r="3" ht="30" customHeight="1" s="276">
      <c r="A3" s="91" t="n">
        <v>1</v>
      </c>
      <c r="B3" s="92" t="inlineStr">
        <is>
          <t>011/2024</t>
        </is>
      </c>
      <c r="C3" s="259" t="inlineStr">
        <is>
          <t>SAC 2023</t>
        </is>
      </c>
      <c r="D3" s="93">
        <f>'SAC 2024'!D67</f>
        <v/>
      </c>
      <c r="E3" s="94">
        <f>'SAC 2024'!E67</f>
        <v/>
      </c>
      <c r="F3" s="95">
        <f>'SAC 2024'!E2</f>
        <v/>
      </c>
      <c r="G3" s="95">
        <f>'SAC 2024'!F2</f>
        <v/>
      </c>
      <c r="H3" s="95">
        <f>'SAC 2024'!G2</f>
        <v/>
      </c>
      <c r="I3" s="95">
        <f>'SAC 2024'!H2</f>
        <v/>
      </c>
      <c r="J3" s="95">
        <f>'SAC 2024'!I2</f>
        <v/>
      </c>
      <c r="K3" s="95">
        <f>'SAC 2024'!J2</f>
        <v/>
      </c>
      <c r="L3" s="95">
        <f>'SAC 2024'!K2</f>
        <v/>
      </c>
      <c r="M3" s="95">
        <f>'SAC 2024'!L2</f>
        <v/>
      </c>
      <c r="N3" s="95">
        <f>'SAC 2024'!M2</f>
        <v/>
      </c>
      <c r="O3" s="95">
        <f>'SAC 2024'!N2</f>
        <v/>
      </c>
      <c r="P3" s="95">
        <f>'SAC 2024'!O2</f>
        <v/>
      </c>
      <c r="Q3" s="95">
        <f>'SAC 2024'!P2</f>
        <v/>
      </c>
      <c r="R3" s="95">
        <f>SUM('SAC 2024'!R2:AI2)</f>
        <v/>
      </c>
      <c r="S3" s="93">
        <f>SUM(F3:R3)</f>
        <v/>
      </c>
    </row>
    <row r="4" ht="30" customHeight="1" s="276">
      <c r="A4" s="91">
        <f>A3+1</f>
        <v/>
      </c>
      <c r="B4" s="92" t="inlineStr">
        <is>
          <t>062/2024</t>
        </is>
      </c>
      <c r="C4" s="259" t="inlineStr">
        <is>
          <t>Prodesp</t>
        </is>
      </c>
      <c r="D4" s="93">
        <f>Prodesp!D92</f>
        <v/>
      </c>
      <c r="E4" s="94">
        <f>Prodesp!E92</f>
        <v/>
      </c>
      <c r="F4" s="95">
        <f>Prodesp!E2</f>
        <v/>
      </c>
      <c r="G4" s="95">
        <f>Prodesp!F2</f>
        <v/>
      </c>
      <c r="H4" s="95">
        <f>Prodesp!G2</f>
        <v/>
      </c>
      <c r="I4" s="95">
        <f>Prodesp!H2</f>
        <v/>
      </c>
      <c r="J4" s="95">
        <f>Prodesp!I2</f>
        <v/>
      </c>
      <c r="K4" s="95">
        <f>Prodesp!J2</f>
        <v/>
      </c>
      <c r="L4" s="95">
        <f>Prodesp!K2</f>
        <v/>
      </c>
      <c r="M4" s="95">
        <f>Prodesp!L2</f>
        <v/>
      </c>
      <c r="N4" s="95">
        <f>Prodesp!M2</f>
        <v/>
      </c>
      <c r="O4" s="95">
        <f>Prodesp!N2</f>
        <v/>
      </c>
      <c r="P4" s="95">
        <f>Prodesp!O2</f>
        <v/>
      </c>
      <c r="Q4" s="95" t="n"/>
      <c r="R4" s="95" t="n"/>
      <c r="S4" s="93">
        <f>SUM(F4:R4)</f>
        <v/>
      </c>
    </row>
    <row r="5" ht="30" customHeight="1" s="276">
      <c r="A5" s="91">
        <f>A4+1</f>
        <v/>
      </c>
      <c r="B5" s="92" t="inlineStr">
        <is>
          <t>087/2024</t>
        </is>
      </c>
      <c r="C5" s="259" t="inlineStr">
        <is>
          <t>DER-MG</t>
        </is>
      </c>
      <c r="D5" s="93">
        <f>'DER-MG'!D44</f>
        <v/>
      </c>
      <c r="E5" s="94">
        <f>'DER-MG'!E45</f>
        <v/>
      </c>
      <c r="F5" s="95">
        <f>'DER-MG'!E2</f>
        <v/>
      </c>
      <c r="G5" s="95">
        <f>'DER-MG'!F2</f>
        <v/>
      </c>
      <c r="H5" s="95">
        <f>'DER-MG'!G2</f>
        <v/>
      </c>
      <c r="I5" s="95">
        <f>'DER-MG'!H2</f>
        <v/>
      </c>
      <c r="J5" s="95">
        <f>'DER-MG'!I2</f>
        <v/>
      </c>
      <c r="K5" s="95">
        <f>'DER-MG'!J2</f>
        <v/>
      </c>
      <c r="L5" s="95">
        <f>'DER-MG'!K2</f>
        <v/>
      </c>
      <c r="M5" s="95">
        <f>'DER-MG'!L2</f>
        <v/>
      </c>
      <c r="N5" s="95">
        <f>'DER-MG'!M2</f>
        <v/>
      </c>
      <c r="O5" s="95">
        <f>'DER-MG'!N2</f>
        <v/>
      </c>
      <c r="P5" s="95" t="n"/>
      <c r="Q5" s="95" t="n"/>
      <c r="R5" s="95" t="n"/>
      <c r="S5" s="93">
        <f>SUM(F5:R5)</f>
        <v/>
      </c>
    </row>
    <row r="6" ht="30" customHeight="1" s="276">
      <c r="A6" s="91">
        <f>A5+1</f>
        <v/>
      </c>
      <c r="B6" s="92" t="inlineStr">
        <is>
          <t>050/2025</t>
        </is>
      </c>
      <c r="C6" s="259" t="inlineStr">
        <is>
          <t>SGG Goiás</t>
        </is>
      </c>
      <c r="D6" s="93">
        <f>Goiás!D36</f>
        <v/>
      </c>
      <c r="E6" s="94">
        <f>Goiás!E36</f>
        <v/>
      </c>
      <c r="F6" s="95">
        <f>Goiás!D2</f>
        <v/>
      </c>
      <c r="G6" s="95">
        <f>Goiás!E2</f>
        <v/>
      </c>
      <c r="H6" s="95">
        <f>Goiás!F2</f>
        <v/>
      </c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3">
        <f>SUM(F6:R6)</f>
        <v/>
      </c>
    </row>
    <row r="7" ht="30" customHeight="1" s="276">
      <c r="A7" s="91">
        <f>A6+1</f>
        <v/>
      </c>
      <c r="B7" s="92" t="inlineStr">
        <is>
          <t>114/2025</t>
        </is>
      </c>
      <c r="C7" s="259" t="inlineStr">
        <is>
          <t>SAC BIM</t>
        </is>
      </c>
      <c r="D7" s="93">
        <f>'SAC BIM'!D136</f>
        <v/>
      </c>
      <c r="E7" s="94">
        <f>'SAC BIM'!E136</f>
        <v/>
      </c>
      <c r="F7" s="95">
        <f>'SAC BIM'!E2</f>
        <v/>
      </c>
      <c r="G7" s="95">
        <f>'SAC BIM'!F2</f>
        <v/>
      </c>
      <c r="H7" s="95">
        <f>'SAC BIM'!G2</f>
        <v/>
      </c>
      <c r="I7" s="95">
        <f>'SAC BIM'!H2</f>
        <v/>
      </c>
      <c r="J7" s="95">
        <f>'SAC BIM'!I2</f>
        <v/>
      </c>
      <c r="K7" s="95">
        <f>'SAC BIM'!J2</f>
        <v/>
      </c>
      <c r="L7" s="95">
        <f>'SAC BIM'!K2</f>
        <v/>
      </c>
      <c r="M7" s="95">
        <f>'SAC BIM'!L2</f>
        <v/>
      </c>
      <c r="N7" s="95">
        <f>'SAC BIM'!M2</f>
        <v/>
      </c>
      <c r="O7" s="95">
        <f>'SAC BIM'!N2</f>
        <v/>
      </c>
      <c r="P7" s="95">
        <f>'SAC BIM'!O2</f>
        <v/>
      </c>
      <c r="Q7" s="95">
        <f>'SAC BIM'!P2</f>
        <v/>
      </c>
      <c r="R7" s="95">
        <f>SUM('SAC BIM'!Q2:BG2)</f>
        <v/>
      </c>
      <c r="S7" s="93">
        <f>SUM(F7:R7)</f>
        <v/>
      </c>
    </row>
    <row r="8" ht="30" customHeight="1" s="276">
      <c r="A8" s="91">
        <f>A7+1</f>
        <v/>
      </c>
      <c r="B8" s="92" t="inlineStr">
        <is>
          <t>014/2026</t>
        </is>
      </c>
      <c r="C8" s="259" t="inlineStr">
        <is>
          <t xml:space="preserve">RUMO </t>
        </is>
      </c>
      <c r="D8" s="93">
        <f>RUMO!D29</f>
        <v/>
      </c>
      <c r="E8" s="94">
        <f>RUMO!E28</f>
        <v/>
      </c>
      <c r="F8" s="95">
        <f>RUMO!E2</f>
        <v/>
      </c>
      <c r="G8" s="95">
        <f>RUMO!F2</f>
        <v/>
      </c>
      <c r="H8" s="95">
        <f>RUMO!G2</f>
        <v/>
      </c>
      <c r="I8" s="95">
        <f>RUMO!H2</f>
        <v/>
      </c>
      <c r="J8" s="95">
        <f>RUMO!I2</f>
        <v/>
      </c>
      <c r="K8" s="95">
        <f>RUMO!J2</f>
        <v/>
      </c>
      <c r="L8" s="95">
        <f>RUMO!K2</f>
        <v/>
      </c>
      <c r="M8" s="95">
        <f>RUMO!L2</f>
        <v/>
      </c>
      <c r="N8" s="95">
        <f>RUMO!M2</f>
        <v/>
      </c>
      <c r="O8" s="95">
        <f>RUMO!N2</f>
        <v/>
      </c>
      <c r="P8" s="95">
        <f>RUMO!O2</f>
        <v/>
      </c>
      <c r="Q8" s="95">
        <f>RUMO!P2</f>
        <v/>
      </c>
      <c r="R8" s="95">
        <f>SUM(RUMO!Q2:V2)</f>
        <v/>
      </c>
      <c r="S8" s="93">
        <f>SUM(F8:R8)</f>
        <v/>
      </c>
    </row>
    <row r="9" ht="30" customHeight="1" s="276">
      <c r="A9" s="91">
        <f>A8+1</f>
        <v/>
      </c>
      <c r="B9" s="92" t="inlineStr">
        <is>
          <t>015/2026</t>
        </is>
      </c>
      <c r="C9" s="259" t="inlineStr">
        <is>
          <t>SGG Goiás II</t>
        </is>
      </c>
      <c r="D9" s="93">
        <f>'Goias II'!D27</f>
        <v/>
      </c>
      <c r="E9" s="94">
        <f>'Goias II'!D2</f>
        <v/>
      </c>
      <c r="F9" s="95">
        <f>'Goias II'!E2</f>
        <v/>
      </c>
      <c r="G9" s="95">
        <f>'Goias II'!F2</f>
        <v/>
      </c>
      <c r="H9" s="95">
        <f>'Goias II'!G2</f>
        <v/>
      </c>
      <c r="I9" s="95">
        <f>'Goias II'!H2</f>
        <v/>
      </c>
      <c r="J9" s="95">
        <f>'Goias II'!I2</f>
        <v/>
      </c>
      <c r="K9" s="95">
        <f>'Goias II'!J2</f>
        <v/>
      </c>
      <c r="L9" s="95">
        <f>'Goias II'!K2</f>
        <v/>
      </c>
      <c r="M9" s="95">
        <f>'Goias II'!L2</f>
        <v/>
      </c>
      <c r="N9" s="95">
        <f>'Goias II'!M2</f>
        <v/>
      </c>
      <c r="O9" s="95" t="n"/>
      <c r="P9" s="95" t="n"/>
      <c r="Q9" s="95" t="n"/>
      <c r="R9" s="95" t="n"/>
      <c r="S9" s="93">
        <f>SUM(F9:R9)</f>
        <v/>
      </c>
    </row>
    <row r="10" ht="30" customHeight="1" s="276">
      <c r="A10" s="91">
        <f>A9+1</f>
        <v/>
      </c>
      <c r="B10" s="92" t="inlineStr">
        <is>
          <t>xxx/2026</t>
        </is>
      </c>
      <c r="C10" s="259" t="inlineStr">
        <is>
          <t>DNIT CGPERT</t>
        </is>
      </c>
      <c r="D10" s="93">
        <f>'DNIT 2026'!D102</f>
        <v/>
      </c>
      <c r="E10" s="94">
        <f>'DNIT 2026'!E102</f>
        <v/>
      </c>
      <c r="F10" s="95" t="n"/>
      <c r="G10" s="95" t="n"/>
      <c r="H10" s="95" t="n"/>
      <c r="I10" s="95" t="n"/>
      <c r="J10" s="95" t="n"/>
      <c r="K10" s="95" t="n"/>
      <c r="L10" s="95" t="n"/>
      <c r="M10" s="95" t="n"/>
      <c r="N10" s="95" t="n"/>
      <c r="O10" s="95" t="n"/>
      <c r="P10" s="95" t="n"/>
      <c r="Q10" s="95" t="n"/>
      <c r="R10" s="95" t="n"/>
      <c r="S10" s="93">
        <f>SUM(F10:R10)</f>
        <v/>
      </c>
    </row>
    <row r="11" ht="30" customHeight="1" s="276">
      <c r="A11" s="272" t="inlineStr">
        <is>
          <t>Totais Receitas</t>
        </is>
      </c>
      <c r="B11" s="257" t="n"/>
      <c r="C11" s="255" t="n"/>
      <c r="D11" s="96">
        <f>SUM(D3:D10)</f>
        <v/>
      </c>
      <c r="E11" s="96">
        <f>SUM(E3:E10)</f>
        <v/>
      </c>
      <c r="F11" s="96">
        <f>SUM(F3:F10)</f>
        <v/>
      </c>
      <c r="G11" s="96">
        <f>SUM(G3:G10)</f>
        <v/>
      </c>
      <c r="H11" s="96">
        <f>SUM(H3:H10)</f>
        <v/>
      </c>
      <c r="I11" s="96">
        <f>SUM(I3:I10)</f>
        <v/>
      </c>
      <c r="J11" s="96">
        <f>SUM(J3:J10)</f>
        <v/>
      </c>
      <c r="K11" s="96">
        <f>SUM(K3:K10)</f>
        <v/>
      </c>
      <c r="L11" s="96">
        <f>SUM(L3:L10)</f>
        <v/>
      </c>
      <c r="M11" s="96">
        <f>SUM(M3:M10)</f>
        <v/>
      </c>
      <c r="N11" s="96">
        <f>SUM(N3:N10)</f>
        <v/>
      </c>
      <c r="O11" s="96">
        <f>SUM(O3:O10)</f>
        <v/>
      </c>
      <c r="P11" s="96">
        <f>SUM(P3:P10)</f>
        <v/>
      </c>
      <c r="Q11" s="96">
        <f>SUM(Q3:Q10)</f>
        <v/>
      </c>
      <c r="R11" s="96">
        <f>SUM(R3:R10)</f>
        <v/>
      </c>
      <c r="S11" s="96">
        <f>SUM(S3:S10)</f>
        <v/>
      </c>
    </row>
    <row r="12" ht="12" customHeight="1" s="276">
      <c r="A12" s="269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</row>
    <row r="13" ht="20.1" customFormat="1" customHeight="1" s="98">
      <c r="A13" s="256" t="inlineStr">
        <is>
          <t xml:space="preserve">Nº </t>
        </is>
      </c>
      <c r="B13" s="256" t="inlineStr">
        <is>
          <t>Projeto</t>
        </is>
      </c>
      <c r="C13" s="265" t="n"/>
      <c r="D13" s="262" t="n"/>
      <c r="E13" s="309" t="inlineStr">
        <is>
          <t>Realizado até</t>
        </is>
      </c>
      <c r="F13" s="310" t="inlineStr">
        <is>
          <t>A Realizar</t>
        </is>
      </c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5" t="n"/>
      <c r="S13" s="311" t="inlineStr">
        <is>
          <t>Total a Realizar</t>
        </is>
      </c>
      <c r="T13" s="312" t="n"/>
    </row>
    <row r="14" ht="20.1" customFormat="1" customHeight="1" s="98">
      <c r="A14" s="268" t="n"/>
      <c r="B14" s="263" t="n"/>
      <c r="C14" s="266" t="n"/>
      <c r="D14" s="264" t="n"/>
      <c r="E14" s="313">
        <f>E2</f>
        <v/>
      </c>
      <c r="F14" s="310">
        <f>F2</f>
        <v/>
      </c>
      <c r="G14" s="310">
        <f>G2</f>
        <v/>
      </c>
      <c r="H14" s="310">
        <f>H2</f>
        <v/>
      </c>
      <c r="I14" s="310">
        <f>I2</f>
        <v/>
      </c>
      <c r="J14" s="310">
        <f>J2</f>
        <v/>
      </c>
      <c r="K14" s="310">
        <f>K2</f>
        <v/>
      </c>
      <c r="L14" s="310">
        <f>L2</f>
        <v/>
      </c>
      <c r="M14" s="310">
        <f>M2</f>
        <v/>
      </c>
      <c r="N14" s="310">
        <f>N2</f>
        <v/>
      </c>
      <c r="O14" s="310">
        <f>O2</f>
        <v/>
      </c>
      <c r="P14" s="310">
        <f>P2</f>
        <v/>
      </c>
      <c r="Q14" s="310">
        <f>Q2</f>
        <v/>
      </c>
      <c r="R14" s="310">
        <f>R2</f>
        <v/>
      </c>
      <c r="S14" s="268" t="n"/>
      <c r="T14" s="312" t="n"/>
    </row>
    <row r="15" ht="30" customHeight="1" s="276">
      <c r="A15" s="91" t="n">
        <v>1</v>
      </c>
      <c r="B15" s="91">
        <f>B3</f>
        <v/>
      </c>
      <c r="C15" s="259">
        <f>C3</f>
        <v/>
      </c>
      <c r="D15" s="255" t="n"/>
      <c r="E15" s="95">
        <f>-'SAC 2024'!G67</f>
        <v/>
      </c>
      <c r="F15" s="95">
        <f>'SAC 2024'!E55</f>
        <v/>
      </c>
      <c r="G15" s="95">
        <f>'SAC 2024'!F55</f>
        <v/>
      </c>
      <c r="H15" s="95">
        <f>'SAC 2024'!G55</f>
        <v/>
      </c>
      <c r="I15" s="95">
        <f>'SAC 2024'!H55</f>
        <v/>
      </c>
      <c r="J15" s="95">
        <f>'SAC 2024'!I55</f>
        <v/>
      </c>
      <c r="K15" s="95">
        <f>'SAC 2024'!J55</f>
        <v/>
      </c>
      <c r="L15" s="95">
        <f>'SAC 2024'!K55</f>
        <v/>
      </c>
      <c r="M15" s="95">
        <f>'SAC 2024'!L55</f>
        <v/>
      </c>
      <c r="N15" s="95">
        <f>'SAC 2024'!M55</f>
        <v/>
      </c>
      <c r="O15" s="95">
        <f>'SAC 2024'!N55</f>
        <v/>
      </c>
      <c r="P15" s="95">
        <f>'SAC 2024'!O55</f>
        <v/>
      </c>
      <c r="Q15" s="95">
        <f>'SAC 2024'!P55</f>
        <v/>
      </c>
      <c r="R15" s="95">
        <f>SUM('SAC 2024'!Q55:AI55)</f>
        <v/>
      </c>
      <c r="S15" s="93">
        <f>SUM(F15:R15)</f>
        <v/>
      </c>
    </row>
    <row r="16" ht="30" customHeight="1" s="276">
      <c r="A16" s="91">
        <f>A15+1</f>
        <v/>
      </c>
      <c r="B16" s="91">
        <f>B4</f>
        <v/>
      </c>
      <c r="C16" s="259">
        <f>C4</f>
        <v/>
      </c>
      <c r="D16" s="255" t="n"/>
      <c r="E16" s="95">
        <f>-Prodesp!G93</f>
        <v/>
      </c>
      <c r="F16" s="95">
        <f>Prodesp!E87</f>
        <v/>
      </c>
      <c r="G16" s="95">
        <f>Prodesp!F87</f>
        <v/>
      </c>
      <c r="H16" s="95">
        <f>Prodesp!G87</f>
        <v/>
      </c>
      <c r="I16" s="95">
        <f>Prodesp!H87</f>
        <v/>
      </c>
      <c r="J16" s="95">
        <f>Prodesp!I87</f>
        <v/>
      </c>
      <c r="K16" s="95">
        <f>Prodesp!J87</f>
        <v/>
      </c>
      <c r="L16" s="95">
        <f>Prodesp!K87</f>
        <v/>
      </c>
      <c r="M16" s="95">
        <f>Prodesp!L87</f>
        <v/>
      </c>
      <c r="N16" s="95">
        <f>Prodesp!M87</f>
        <v/>
      </c>
      <c r="O16" s="95">
        <f>Prodesp!N87</f>
        <v/>
      </c>
      <c r="P16" s="95">
        <f>Prodesp!O87</f>
        <v/>
      </c>
      <c r="Q16" s="95" t="n"/>
      <c r="R16" s="95" t="n"/>
      <c r="S16" s="93">
        <f>SUM(F16:R16)</f>
        <v/>
      </c>
    </row>
    <row r="17" ht="30" customHeight="1" s="276">
      <c r="A17" s="91">
        <f>A16+1</f>
        <v/>
      </c>
      <c r="B17" s="91">
        <f>B5</f>
        <v/>
      </c>
      <c r="C17" s="259">
        <f>C5</f>
        <v/>
      </c>
      <c r="D17" s="255" t="n"/>
      <c r="E17" s="95">
        <f>-'DER-MG'!G45</f>
        <v/>
      </c>
      <c r="F17" s="95">
        <f>'DER-MG'!E39</f>
        <v/>
      </c>
      <c r="G17" s="95">
        <f>'DER-MG'!F39</f>
        <v/>
      </c>
      <c r="H17" s="95">
        <f>'DER-MG'!G39</f>
        <v/>
      </c>
      <c r="I17" s="95">
        <f>'DER-MG'!H39</f>
        <v/>
      </c>
      <c r="J17" s="95">
        <f>'DER-MG'!I39</f>
        <v/>
      </c>
      <c r="K17" s="95">
        <f>'DER-MG'!J39</f>
        <v/>
      </c>
      <c r="L17" s="95">
        <f>'DER-MG'!K39</f>
        <v/>
      </c>
      <c r="M17" s="95">
        <f>'DER-MG'!L39</f>
        <v/>
      </c>
      <c r="N17" s="95">
        <f>'DER-MG'!M39</f>
        <v/>
      </c>
      <c r="O17" s="95">
        <f>'DER-MG'!N39</f>
        <v/>
      </c>
      <c r="P17" s="95" t="n"/>
      <c r="Q17" s="95" t="n"/>
      <c r="R17" s="95" t="n"/>
      <c r="S17" s="93">
        <f>SUM(F17:R17)</f>
        <v/>
      </c>
    </row>
    <row r="18" ht="30" customHeight="1" s="276">
      <c r="A18" s="91">
        <f>A17+1</f>
        <v/>
      </c>
      <c r="B18" s="91">
        <f>B6</f>
        <v/>
      </c>
      <c r="C18" s="259">
        <f>C6</f>
        <v/>
      </c>
      <c r="D18" s="255" t="n"/>
      <c r="E18" s="95">
        <f>-Goiás!G36</f>
        <v/>
      </c>
      <c r="F18" s="95">
        <f>Goiás!D23</f>
        <v/>
      </c>
      <c r="G18" s="95">
        <f>Goiás!E23</f>
        <v/>
      </c>
      <c r="H18" s="95">
        <f>Goiás!F23</f>
        <v/>
      </c>
      <c r="I18" s="95" t="n"/>
      <c r="J18" s="95" t="n"/>
      <c r="K18" s="95" t="n"/>
      <c r="L18" s="95" t="n"/>
      <c r="M18" s="95" t="n"/>
      <c r="N18" s="95" t="n"/>
      <c r="O18" s="95" t="n"/>
      <c r="P18" s="95" t="n"/>
      <c r="Q18" s="95" t="n"/>
      <c r="R18" s="95" t="n"/>
      <c r="S18" s="93">
        <f>SUM(F18:R18)</f>
        <v/>
      </c>
    </row>
    <row r="19" ht="30" customHeight="1" s="276">
      <c r="A19" s="91">
        <f>A18+1</f>
        <v/>
      </c>
      <c r="B19" s="91">
        <f>B7</f>
        <v/>
      </c>
      <c r="C19" s="259">
        <f>C7</f>
        <v/>
      </c>
      <c r="D19" s="255" t="n"/>
      <c r="E19" s="95">
        <f>-'SAC BIM'!G136</f>
        <v/>
      </c>
      <c r="F19" s="95">
        <f>'SAC BIM'!E124</f>
        <v/>
      </c>
      <c r="G19" s="95">
        <f>'SAC BIM'!F124</f>
        <v/>
      </c>
      <c r="H19" s="95">
        <f>'SAC BIM'!G124</f>
        <v/>
      </c>
      <c r="I19" s="95">
        <f>'SAC BIM'!H124</f>
        <v/>
      </c>
      <c r="J19" s="95">
        <f>'SAC BIM'!I124</f>
        <v/>
      </c>
      <c r="K19" s="95">
        <f>'SAC BIM'!J124</f>
        <v/>
      </c>
      <c r="L19" s="95">
        <f>'SAC BIM'!K124</f>
        <v/>
      </c>
      <c r="M19" s="95">
        <f>'SAC BIM'!L124</f>
        <v/>
      </c>
      <c r="N19" s="95">
        <f>'SAC BIM'!M124</f>
        <v/>
      </c>
      <c r="O19" s="95">
        <f>'SAC BIM'!N124</f>
        <v/>
      </c>
      <c r="P19" s="95">
        <f>'SAC BIM'!O124</f>
        <v/>
      </c>
      <c r="Q19" s="95">
        <f>'SAC BIM'!P124</f>
        <v/>
      </c>
      <c r="R19" s="95">
        <f>SUM('SAC BIM'!Q124:BG124)</f>
        <v/>
      </c>
      <c r="S19" s="93">
        <f>SUM(F19:R19)</f>
        <v/>
      </c>
    </row>
    <row r="20" ht="30" customHeight="1" s="276">
      <c r="A20" s="91">
        <f>A19+1</f>
        <v/>
      </c>
      <c r="B20" s="91">
        <f>B8</f>
        <v/>
      </c>
      <c r="C20" s="259">
        <f>C8</f>
        <v/>
      </c>
      <c r="D20" s="255" t="n"/>
      <c r="E20" s="95">
        <f>-RUMO!G28</f>
        <v/>
      </c>
      <c r="F20" s="95">
        <f>RUMO!E23</f>
        <v/>
      </c>
      <c r="G20" s="95">
        <f>RUMO!F23</f>
        <v/>
      </c>
      <c r="H20" s="95">
        <f>RUMO!G23</f>
        <v/>
      </c>
      <c r="I20" s="95">
        <f>RUMO!H23</f>
        <v/>
      </c>
      <c r="J20" s="95">
        <f>RUMO!I23</f>
        <v/>
      </c>
      <c r="K20" s="95">
        <f>RUMO!J23</f>
        <v/>
      </c>
      <c r="L20" s="95">
        <f>RUMO!K23</f>
        <v/>
      </c>
      <c r="M20" s="95">
        <f>RUMO!L23</f>
        <v/>
      </c>
      <c r="N20" s="95">
        <f>RUMO!M23</f>
        <v/>
      </c>
      <c r="O20" s="95">
        <f>RUMO!N23</f>
        <v/>
      </c>
      <c r="P20" s="95">
        <f>RUMO!O23</f>
        <v/>
      </c>
      <c r="Q20" s="95">
        <f>RUMO!P23</f>
        <v/>
      </c>
      <c r="R20" s="95">
        <f>SUM(RUMO!Q23:V23)</f>
        <v/>
      </c>
      <c r="S20" s="93">
        <f>SUM(F20:R20)</f>
        <v/>
      </c>
    </row>
    <row r="21" ht="30" customHeight="1" s="276">
      <c r="A21" s="91">
        <f>A20+1</f>
        <v/>
      </c>
      <c r="B21" s="91">
        <f>B9</f>
        <v/>
      </c>
      <c r="C21" s="259">
        <f>C9</f>
        <v/>
      </c>
      <c r="D21" s="255" t="n"/>
      <c r="E21" s="95">
        <f>-'Goias II'!G27</f>
        <v/>
      </c>
      <c r="F21" s="95">
        <f>'Goias II'!E22</f>
        <v/>
      </c>
      <c r="G21" s="95">
        <f>'Goias II'!F22</f>
        <v/>
      </c>
      <c r="H21" s="95">
        <f>'Goias II'!G22</f>
        <v/>
      </c>
      <c r="I21" s="95">
        <f>'Goias II'!H22</f>
        <v/>
      </c>
      <c r="J21" s="95">
        <f>'Goias II'!I22</f>
        <v/>
      </c>
      <c r="K21" s="95">
        <f>'Goias II'!J22</f>
        <v/>
      </c>
      <c r="L21" s="95">
        <f>'Goias II'!K22</f>
        <v/>
      </c>
      <c r="M21" s="95">
        <f>'Goias II'!L22</f>
        <v/>
      </c>
      <c r="N21" s="95">
        <f>'Goias II'!M22</f>
        <v/>
      </c>
      <c r="O21" s="95" t="n"/>
      <c r="P21" s="95" t="n"/>
      <c r="Q21" s="95" t="n"/>
      <c r="R21" s="95" t="n"/>
      <c r="S21" s="93">
        <f>SUM(F21:R21)</f>
        <v/>
      </c>
    </row>
    <row r="22" ht="30" customHeight="1" s="276">
      <c r="A22" s="91">
        <f>A21+1</f>
        <v/>
      </c>
      <c r="B22" s="91">
        <f>B10</f>
        <v/>
      </c>
      <c r="C22" s="259">
        <f>C10</f>
        <v/>
      </c>
      <c r="D22" s="255" t="n"/>
      <c r="E22" s="95">
        <f>-'DNIT 2026'!G102</f>
        <v/>
      </c>
      <c r="F22" s="95" t="n"/>
      <c r="G22" s="95" t="n"/>
      <c r="H22" s="95" t="n"/>
      <c r="I22" s="95" t="n"/>
      <c r="J22" s="95" t="n"/>
      <c r="K22" s="95" t="n"/>
      <c r="L22" s="95" t="n"/>
      <c r="M22" s="95" t="n"/>
      <c r="N22" s="95" t="n"/>
      <c r="O22" s="95" t="n"/>
      <c r="P22" s="95" t="n"/>
      <c r="Q22" s="95" t="n"/>
      <c r="R22" s="95" t="n"/>
      <c r="S22" s="93">
        <f>SUM(F22:R22)</f>
        <v/>
      </c>
    </row>
    <row r="23" ht="30" customHeight="1" s="276">
      <c r="A23" s="256" t="inlineStr">
        <is>
          <t>Totais Despesas</t>
        </is>
      </c>
      <c r="B23" s="257" t="n"/>
      <c r="C23" s="257" t="n"/>
      <c r="D23" s="255" t="n"/>
      <c r="E23" s="99">
        <f>SUM(E15:E22)</f>
        <v/>
      </c>
      <c r="F23" s="99">
        <f>SUM(F15:F22)</f>
        <v/>
      </c>
      <c r="G23" s="99">
        <f>SUM(G15:G22)</f>
        <v/>
      </c>
      <c r="H23" s="99">
        <f>SUM(H15:H22)</f>
        <v/>
      </c>
      <c r="I23" s="99">
        <f>SUM(I15:I22)</f>
        <v/>
      </c>
      <c r="J23" s="99">
        <f>SUM(J15:J22)</f>
        <v/>
      </c>
      <c r="K23" s="99">
        <f>SUM(K15:K22)</f>
        <v/>
      </c>
      <c r="L23" s="99">
        <f>SUM(L15:L22)</f>
        <v/>
      </c>
      <c r="M23" s="99">
        <f>SUM(M15:M22)</f>
        <v/>
      </c>
      <c r="N23" s="99">
        <f>SUM(N15:N22)</f>
        <v/>
      </c>
      <c r="O23" s="99">
        <f>SUM(O15:O22)</f>
        <v/>
      </c>
      <c r="P23" s="99">
        <f>SUM(P15:P22)</f>
        <v/>
      </c>
      <c r="Q23" s="99">
        <f>SUM(Q15:Q22)</f>
        <v/>
      </c>
      <c r="R23" s="99">
        <f>SUM(R15:R22)</f>
        <v/>
      </c>
      <c r="S23" s="99">
        <f>SUM(S15:S22)</f>
        <v/>
      </c>
    </row>
    <row r="24" ht="9.75" customHeight="1" s="276">
      <c r="A24" s="269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</row>
    <row r="25" ht="12" customHeight="1" s="276">
      <c r="A25" s="260" t="inlineStr">
        <is>
          <t xml:space="preserve">Nº </t>
        </is>
      </c>
      <c r="B25" s="260" t="inlineStr">
        <is>
          <t>Projeto</t>
        </is>
      </c>
      <c r="C25" s="265" t="n"/>
      <c r="D25" s="262" t="n"/>
      <c r="E25" s="314" t="inlineStr">
        <is>
          <t>Saldo Atual</t>
        </is>
      </c>
      <c r="F25" s="315" t="inlineStr">
        <is>
          <t>Saldo Projetado</t>
        </is>
      </c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5" t="n"/>
      <c r="S25" s="314" t="inlineStr">
        <is>
          <t>Total projetado</t>
        </is>
      </c>
    </row>
    <row r="26" ht="20.1" customHeight="1" s="276">
      <c r="A26" s="268" t="n"/>
      <c r="B26" s="263" t="n"/>
      <c r="C26" s="266" t="n"/>
      <c r="D26" s="264" t="n"/>
      <c r="E26" s="268" t="n"/>
      <c r="F26" s="315">
        <f>F14</f>
        <v/>
      </c>
      <c r="G26" s="315">
        <f>G14</f>
        <v/>
      </c>
      <c r="H26" s="315">
        <f>H14</f>
        <v/>
      </c>
      <c r="I26" s="315">
        <f>I14</f>
        <v/>
      </c>
      <c r="J26" s="315">
        <f>J14</f>
        <v/>
      </c>
      <c r="K26" s="315">
        <f>K14</f>
        <v/>
      </c>
      <c r="L26" s="315">
        <f>L14</f>
        <v/>
      </c>
      <c r="M26" s="315">
        <f>M14</f>
        <v/>
      </c>
      <c r="N26" s="315">
        <f>N14</f>
        <v/>
      </c>
      <c r="O26" s="315">
        <f>O14</f>
        <v/>
      </c>
      <c r="P26" s="315">
        <f>P14</f>
        <v/>
      </c>
      <c r="Q26" s="315">
        <f>Q14</f>
        <v/>
      </c>
      <c r="R26" s="315">
        <f>R14</f>
        <v/>
      </c>
      <c r="S26" s="268" t="n"/>
    </row>
    <row r="27" ht="30" customHeight="1" s="276">
      <c r="A27" s="91" t="n">
        <v>1</v>
      </c>
      <c r="B27" s="91">
        <f>B15</f>
        <v/>
      </c>
      <c r="C27" s="254">
        <f>C15</f>
        <v/>
      </c>
      <c r="D27" s="255" t="n"/>
      <c r="E27" s="100">
        <f>'SAC 2024'!D56</f>
        <v/>
      </c>
      <c r="F27" s="100">
        <f>E27+F3-F15</f>
        <v/>
      </c>
      <c r="G27" s="100">
        <f>F27+G3-G15</f>
        <v/>
      </c>
      <c r="H27" s="100">
        <f>G27+H3-H15</f>
        <v/>
      </c>
      <c r="I27" s="100">
        <f>H27+I3-I15</f>
        <v/>
      </c>
      <c r="J27" s="100">
        <f>I27+J3-J15</f>
        <v/>
      </c>
      <c r="K27" s="100">
        <f>J27+K3-K15</f>
        <v/>
      </c>
      <c r="L27" s="100">
        <f>K27+L3-L15</f>
        <v/>
      </c>
      <c r="M27" s="100">
        <f>L27+M3-M15</f>
        <v/>
      </c>
      <c r="N27" s="100">
        <f>M27+N3-N15</f>
        <v/>
      </c>
      <c r="O27" s="100">
        <f>N27+O3-O15</f>
        <v/>
      </c>
      <c r="P27" s="100">
        <f>O27+P3-P15</f>
        <v/>
      </c>
      <c r="Q27" s="100">
        <f>P27+Q3-Q15</f>
        <v/>
      </c>
      <c r="R27" s="100">
        <f>Q27+R3-R15</f>
        <v/>
      </c>
      <c r="S27" s="93">
        <f>R27</f>
        <v/>
      </c>
    </row>
    <row r="28" ht="30" customHeight="1" s="276">
      <c r="A28" s="91">
        <f>A27+1</f>
        <v/>
      </c>
      <c r="B28" s="91">
        <f>B16</f>
        <v/>
      </c>
      <c r="C28" s="254">
        <f>C16</f>
        <v/>
      </c>
      <c r="D28" s="255" t="n"/>
      <c r="E28" s="100">
        <f>Prodesp!D88</f>
        <v/>
      </c>
      <c r="F28" s="100">
        <f>E28+F4-F16</f>
        <v/>
      </c>
      <c r="G28" s="100">
        <f>F28+G4-G16</f>
        <v/>
      </c>
      <c r="H28" s="100">
        <f>G28+H4-H16</f>
        <v/>
      </c>
      <c r="I28" s="100">
        <f>H28+I4-I16</f>
        <v/>
      </c>
      <c r="J28" s="100">
        <f>I28+J4-J16</f>
        <v/>
      </c>
      <c r="K28" s="100">
        <f>J28+K4-K16</f>
        <v/>
      </c>
      <c r="L28" s="100">
        <f>K28+L4-L16</f>
        <v/>
      </c>
      <c r="M28" s="100">
        <f>L28+M4-M16</f>
        <v/>
      </c>
      <c r="N28" s="100">
        <f>M28+N4-N16</f>
        <v/>
      </c>
      <c r="O28" s="100">
        <f>N28+O4-O16</f>
        <v/>
      </c>
      <c r="P28" s="100">
        <f>O28+P4-P16</f>
        <v/>
      </c>
      <c r="Q28" s="100" t="n"/>
      <c r="R28" s="100" t="n"/>
      <c r="S28" s="93">
        <f>P28</f>
        <v/>
      </c>
    </row>
    <row r="29" ht="30" customHeight="1" s="276">
      <c r="A29" s="91">
        <f>A28+1</f>
        <v/>
      </c>
      <c r="B29" s="91">
        <f>B17</f>
        <v/>
      </c>
      <c r="C29" s="254">
        <f>C17</f>
        <v/>
      </c>
      <c r="D29" s="255" t="n"/>
      <c r="E29" s="100">
        <f>'DER-MG'!D40</f>
        <v/>
      </c>
      <c r="F29" s="100">
        <f>E29+F5-F17</f>
        <v/>
      </c>
      <c r="G29" s="100">
        <f>F29+G5-G17</f>
        <v/>
      </c>
      <c r="H29" s="100">
        <f>G29+H5-H17</f>
        <v/>
      </c>
      <c r="I29" s="100">
        <f>H29+I5-I17</f>
        <v/>
      </c>
      <c r="J29" s="100">
        <f>I29+J5-J17</f>
        <v/>
      </c>
      <c r="K29" s="100">
        <f>J29+K5-K17</f>
        <v/>
      </c>
      <c r="L29" s="100">
        <f>K29+L5-L17</f>
        <v/>
      </c>
      <c r="M29" s="100">
        <f>L29+M5-M17</f>
        <v/>
      </c>
      <c r="N29" s="100">
        <f>M29+N5-N17</f>
        <v/>
      </c>
      <c r="O29" s="100">
        <f>N29+O5-O17</f>
        <v/>
      </c>
      <c r="P29" s="100" t="n"/>
      <c r="Q29" s="100" t="n"/>
      <c r="R29" s="100" t="n"/>
      <c r="S29" s="93">
        <f>O29</f>
        <v/>
      </c>
    </row>
    <row r="30" ht="30" customHeight="1" s="276">
      <c r="A30" s="91">
        <f>A29+1</f>
        <v/>
      </c>
      <c r="B30" s="91">
        <f>B18</f>
        <v/>
      </c>
      <c r="C30" s="254">
        <f>C18</f>
        <v/>
      </c>
      <c r="D30" s="255" t="n"/>
      <c r="E30" s="100">
        <f>Goiás!C24</f>
        <v/>
      </c>
      <c r="F30" s="100">
        <f>E30+F6-F18</f>
        <v/>
      </c>
      <c r="G30" s="100">
        <f>F30+G6-G18</f>
        <v/>
      </c>
      <c r="H30" s="100">
        <f>G30+H6-H18</f>
        <v/>
      </c>
      <c r="I30" s="100" t="n"/>
      <c r="J30" s="100" t="n"/>
      <c r="K30" s="100" t="n"/>
      <c r="L30" s="100" t="n"/>
      <c r="M30" s="100" t="n"/>
      <c r="N30" s="100" t="n"/>
      <c r="O30" s="100" t="n"/>
      <c r="P30" s="100" t="n"/>
      <c r="Q30" s="100" t="n"/>
      <c r="R30" s="100" t="n"/>
      <c r="S30" s="93">
        <f>H30</f>
        <v/>
      </c>
    </row>
    <row r="31" ht="30" customHeight="1" s="276">
      <c r="A31" s="91">
        <f>A30+1</f>
        <v/>
      </c>
      <c r="B31" s="91">
        <f>B19</f>
        <v/>
      </c>
      <c r="C31" s="254">
        <f>C19</f>
        <v/>
      </c>
      <c r="D31" s="255" t="n"/>
      <c r="E31" s="100">
        <f>'SAC BIM'!H136</f>
        <v/>
      </c>
      <c r="F31" s="100">
        <f>E31+F7-F19</f>
        <v/>
      </c>
      <c r="G31" s="100">
        <f>F31+G7-G19</f>
        <v/>
      </c>
      <c r="H31" s="100">
        <f>G31+H7-H19</f>
        <v/>
      </c>
      <c r="I31" s="100">
        <f>H31+I7-I19</f>
        <v/>
      </c>
      <c r="J31" s="100">
        <f>I31+J7-J19</f>
        <v/>
      </c>
      <c r="K31" s="100">
        <f>J31+K7-K19</f>
        <v/>
      </c>
      <c r="L31" s="100">
        <f>K31+L7-L19</f>
        <v/>
      </c>
      <c r="M31" s="100">
        <f>L31+M7-M19</f>
        <v/>
      </c>
      <c r="N31" s="100">
        <f>M31+N7-N19</f>
        <v/>
      </c>
      <c r="O31" s="100">
        <f>N31+O7-O19</f>
        <v/>
      </c>
      <c r="P31" s="100">
        <f>O31+P7-P19</f>
        <v/>
      </c>
      <c r="Q31" s="100">
        <f>P31+Q7-Q19</f>
        <v/>
      </c>
      <c r="R31" s="100">
        <f>Q31+R7-R19</f>
        <v/>
      </c>
      <c r="S31" s="93">
        <f>R31</f>
        <v/>
      </c>
    </row>
    <row r="32" ht="30" customHeight="1" s="276">
      <c r="A32" s="91">
        <f>A31+1</f>
        <v/>
      </c>
      <c r="B32" s="91">
        <f>B20</f>
        <v/>
      </c>
      <c r="C32" s="254">
        <f>C20</f>
        <v/>
      </c>
      <c r="D32" s="255" t="n"/>
      <c r="E32" s="100">
        <f>RUMO!D24</f>
        <v/>
      </c>
      <c r="F32" s="100">
        <f>E32+F8-F20</f>
        <v/>
      </c>
      <c r="G32" s="100">
        <f>F32+G8-G20</f>
        <v/>
      </c>
      <c r="H32" s="100">
        <f>G32+H8-H20</f>
        <v/>
      </c>
      <c r="I32" s="100">
        <f>H32+I8-I20</f>
        <v/>
      </c>
      <c r="J32" s="100">
        <f>I32+J8-J20</f>
        <v/>
      </c>
      <c r="K32" s="100">
        <f>J32+K8-K20</f>
        <v/>
      </c>
      <c r="L32" s="100">
        <f>K32+L8-L20</f>
        <v/>
      </c>
      <c r="M32" s="100">
        <f>L32+M8-M20</f>
        <v/>
      </c>
      <c r="N32" s="100">
        <f>M32+N8-N20</f>
        <v/>
      </c>
      <c r="O32" s="100">
        <f>N32+O8-O20</f>
        <v/>
      </c>
      <c r="P32" s="100">
        <f>O32+P8-P20</f>
        <v/>
      </c>
      <c r="Q32" s="100">
        <f>P32+Q8-Q20</f>
        <v/>
      </c>
      <c r="R32" s="100">
        <f>Q32+R8-R20</f>
        <v/>
      </c>
      <c r="S32" s="93">
        <f>R32</f>
        <v/>
      </c>
    </row>
    <row r="33" ht="30" customHeight="1" s="276">
      <c r="A33" s="91">
        <f>A32+1</f>
        <v/>
      </c>
      <c r="B33" s="91">
        <f>B21</f>
        <v/>
      </c>
      <c r="C33" s="254">
        <f>C21</f>
        <v/>
      </c>
      <c r="D33" s="255" t="n"/>
      <c r="E33" s="100">
        <f>'Goias II'!D23</f>
        <v/>
      </c>
      <c r="F33" s="100">
        <f>E33+F9-F21</f>
        <v/>
      </c>
      <c r="G33" s="100">
        <f>F33+G9-G21</f>
        <v/>
      </c>
      <c r="H33" s="100">
        <f>G33+H9-H21</f>
        <v/>
      </c>
      <c r="I33" s="100">
        <f>H33+I9-I21</f>
        <v/>
      </c>
      <c r="J33" s="100">
        <f>I33+J9-J21</f>
        <v/>
      </c>
      <c r="K33" s="100">
        <f>J33+K9-K21</f>
        <v/>
      </c>
      <c r="L33" s="100">
        <f>K33+L9-L21</f>
        <v/>
      </c>
      <c r="M33" s="100">
        <f>L33+M9-M21</f>
        <v/>
      </c>
      <c r="N33" s="100">
        <f>M33+N9-N21</f>
        <v/>
      </c>
      <c r="O33" s="100" t="n"/>
      <c r="P33" s="100" t="n"/>
      <c r="Q33" s="100" t="n"/>
      <c r="R33" s="100" t="n"/>
      <c r="S33" s="93">
        <f>N33</f>
        <v/>
      </c>
    </row>
    <row r="34" ht="30" customHeight="1" s="276">
      <c r="A34" s="91">
        <f>A33+1</f>
        <v/>
      </c>
      <c r="B34" s="91">
        <f>B22</f>
        <v/>
      </c>
      <c r="C34" s="254">
        <f>C22</f>
        <v/>
      </c>
      <c r="D34" s="255" t="n"/>
      <c r="E34" s="100">
        <f>'DNIT 2026'!D90</f>
        <v/>
      </c>
      <c r="F34" s="100">
        <f>E34+F10-F22</f>
        <v/>
      </c>
      <c r="G34" s="100">
        <f>F34+G10-G22</f>
        <v/>
      </c>
      <c r="H34" s="100">
        <f>G34+H10-H22</f>
        <v/>
      </c>
      <c r="I34" s="100">
        <f>H34+I10-I22</f>
        <v/>
      </c>
      <c r="J34" s="100">
        <f>I34+J10-J22</f>
        <v/>
      </c>
      <c r="K34" s="100">
        <f>J34+K10-K22</f>
        <v/>
      </c>
      <c r="L34" s="100">
        <f>K34+L10-L22</f>
        <v/>
      </c>
      <c r="M34" s="100">
        <f>L34+M10-M22</f>
        <v/>
      </c>
      <c r="N34" s="100">
        <f>M34+N10-N22</f>
        <v/>
      </c>
      <c r="O34" s="100">
        <f>N34+O10-O22</f>
        <v/>
      </c>
      <c r="P34" s="100">
        <f>O34+P10-P22</f>
        <v/>
      </c>
      <c r="Q34" s="100">
        <f>P34+Q10-Q22</f>
        <v/>
      </c>
      <c r="R34" s="100">
        <f>Q34+R10-R22</f>
        <v/>
      </c>
      <c r="S34" s="93">
        <f>R34</f>
        <v/>
      </c>
    </row>
    <row r="35" ht="19.5" customHeight="1" s="276">
      <c r="A35" s="260" t="inlineStr">
        <is>
          <t>Saldos dos Projetos</t>
        </is>
      </c>
      <c r="B35" s="257" t="n"/>
      <c r="C35" s="257" t="n"/>
      <c r="D35" s="255" t="n"/>
      <c r="E35" s="101">
        <f>SUM(E27:E34)</f>
        <v/>
      </c>
      <c r="F35" s="101">
        <f>SUM(F27:F34)</f>
        <v/>
      </c>
      <c r="G35" s="101">
        <f>SUM(G27:G34)</f>
        <v/>
      </c>
      <c r="H35" s="101">
        <f>SUM(H27:H34)</f>
        <v/>
      </c>
      <c r="I35" s="101">
        <f>SUM(I27:I34)</f>
        <v/>
      </c>
      <c r="J35" s="101">
        <f>SUM(J27:J34)</f>
        <v/>
      </c>
      <c r="K35" s="101">
        <f>SUM(K27:K34)</f>
        <v/>
      </c>
      <c r="L35" s="101">
        <f>SUM(L27:L34)</f>
        <v/>
      </c>
      <c r="M35" s="101">
        <f>SUM(M27:M34)</f>
        <v/>
      </c>
      <c r="N35" s="101">
        <f>SUM(N27:N34)</f>
        <v/>
      </c>
      <c r="O35" s="101">
        <f>SUM(O27:O34)</f>
        <v/>
      </c>
      <c r="P35" s="101">
        <f>SUM(P27:P34)</f>
        <v/>
      </c>
      <c r="Q35" s="101">
        <f>SUM(Q27:Q34)</f>
        <v/>
      </c>
      <c r="R35" s="101">
        <f>SUM(R27:R34)</f>
        <v/>
      </c>
      <c r="S35" s="101">
        <f>SUM(S27:S34)</f>
        <v/>
      </c>
    </row>
    <row r="36" ht="17.25" customHeight="1" s="276">
      <c r="A36" s="91">
        <f>A30+1</f>
        <v/>
      </c>
      <c r="B36" s="92" t="inlineStr">
        <is>
          <t>999/9999</t>
        </is>
      </c>
      <c r="C36" s="254" t="inlineStr">
        <is>
          <t>Provisões</t>
        </is>
      </c>
      <c r="D36" s="255" t="n"/>
      <c r="E36" s="95" t="n"/>
      <c r="F36" s="95" t="n"/>
      <c r="G36" s="95" t="n"/>
      <c r="H36" s="95" t="n"/>
      <c r="I36" s="95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95" t="n"/>
      <c r="S36" s="95" t="n"/>
    </row>
    <row r="37" ht="18" customHeight="1" s="276">
      <c r="A37" s="260" t="inlineStr">
        <is>
          <t>Saldo Total na Fundação</t>
        </is>
      </c>
      <c r="B37" s="257" t="n"/>
      <c r="C37" s="257" t="n"/>
      <c r="D37" s="255" t="n"/>
      <c r="E37" s="101">
        <f>SUM(E35:E36)</f>
        <v/>
      </c>
      <c r="F37" s="101">
        <f>SUM(F35:F36)</f>
        <v/>
      </c>
      <c r="G37" s="101">
        <f>SUM(G35:G36)</f>
        <v/>
      </c>
      <c r="H37" s="101">
        <f>SUM(H35:H36)</f>
        <v/>
      </c>
      <c r="I37" s="101">
        <f>SUM(I35:I36)</f>
        <v/>
      </c>
      <c r="J37" s="101">
        <f>SUM(J35:J36)</f>
        <v/>
      </c>
      <c r="K37" s="101">
        <f>SUM(K35:K36)</f>
        <v/>
      </c>
      <c r="L37" s="101">
        <f>SUM(L35:L36)</f>
        <v/>
      </c>
      <c r="M37" s="101">
        <f>SUM(M35:M36)</f>
        <v/>
      </c>
      <c r="N37" s="101">
        <f>SUM(N35:N36)</f>
        <v/>
      </c>
      <c r="O37" s="101">
        <f>SUM(O35:O36)</f>
        <v/>
      </c>
      <c r="P37" s="101">
        <f>SUM(P35:P36)</f>
        <v/>
      </c>
      <c r="Q37" s="101">
        <f>SUM(Q35:Q36)</f>
        <v/>
      </c>
      <c r="R37" s="101">
        <f>SUM(R35:R36)</f>
        <v/>
      </c>
      <c r="S37" s="101">
        <f>SUM(S35:S36)</f>
        <v/>
      </c>
    </row>
    <row r="38" ht="18" customHeight="1" s="276">
      <c r="A38" s="102" t="n"/>
      <c r="B38" s="103" t="n"/>
      <c r="C38" s="103" t="n"/>
      <c r="D38" s="103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  <c r="N38" s="104" t="n"/>
      <c r="O38" s="104" t="n"/>
      <c r="P38" s="104" t="n"/>
      <c r="Q38" s="104" t="n"/>
      <c r="R38" s="104" t="n"/>
      <c r="S38" s="104" t="n"/>
    </row>
    <row r="39" ht="18" customHeight="1" s="276">
      <c r="A39" s="102" t="n"/>
      <c r="B39" s="103" t="n"/>
      <c r="C39" s="103" t="n"/>
      <c r="D39" s="103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4" t="n"/>
      <c r="S39" s="104" t="n"/>
    </row>
    <row r="40" ht="18" customHeight="1" s="276">
      <c r="A40" s="105" t="n"/>
      <c r="B40" s="105" t="n"/>
      <c r="C40" s="105" t="n"/>
      <c r="D40" s="316" t="n"/>
      <c r="E40" s="317" t="n"/>
      <c r="F40" s="316" t="n"/>
      <c r="H40" s="105" t="n"/>
      <c r="I40" s="97" t="n"/>
      <c r="J40" s="97" t="n"/>
      <c r="K40" s="97" t="n"/>
      <c r="L40" s="97" t="n"/>
      <c r="M40" s="97" t="n"/>
      <c r="N40" s="97" t="n"/>
      <c r="O40" s="97" t="n"/>
      <c r="P40" s="97" t="n"/>
      <c r="Q40" s="97" t="n"/>
      <c r="R40" s="97" t="n"/>
      <c r="S40" s="97" t="n"/>
    </row>
    <row r="41" ht="18" customHeight="1" s="276">
      <c r="A41" s="105" t="n"/>
      <c r="B41" s="105" t="n"/>
      <c r="C41" s="105" t="n"/>
      <c r="D41" s="316" t="n"/>
      <c r="E41" s="317" t="n"/>
      <c r="F41" s="316" t="n"/>
      <c r="H41" s="105" t="n"/>
      <c r="I41" s="97" t="n"/>
      <c r="J41" s="97" t="n"/>
      <c r="K41" s="97" t="n"/>
      <c r="L41" s="97" t="n"/>
      <c r="M41" s="97" t="n"/>
      <c r="N41" s="97" t="n"/>
      <c r="O41" s="97" t="n"/>
      <c r="P41" s="97" t="n"/>
      <c r="Q41" s="97" t="n"/>
      <c r="R41" s="97" t="n"/>
      <c r="S41" s="97" t="n"/>
    </row>
    <row r="42" ht="18" customHeight="1" s="276">
      <c r="A42" s="105" t="n"/>
      <c r="B42" s="105" t="n"/>
      <c r="C42" s="105" t="n"/>
      <c r="D42" s="316" t="n"/>
      <c r="E42" s="317" t="n"/>
      <c r="F42" s="316" t="n"/>
      <c r="H42" s="105" t="n"/>
      <c r="I42" s="97" t="n"/>
      <c r="J42" s="97" t="n"/>
      <c r="K42" s="97" t="n"/>
      <c r="L42" s="97" t="n"/>
      <c r="M42" s="97" t="n"/>
      <c r="N42" s="97" t="n"/>
      <c r="O42" s="97" t="n"/>
      <c r="P42" s="97" t="n"/>
      <c r="Q42" s="97" t="n"/>
      <c r="R42" s="97" t="n"/>
      <c r="S42" s="97" t="n"/>
    </row>
    <row r="43" ht="18" customHeight="1" s="276">
      <c r="A43" s="105" t="n"/>
      <c r="B43" s="105" t="n"/>
      <c r="C43" s="105" t="n"/>
      <c r="D43" s="316" t="n"/>
      <c r="E43" s="317" t="n"/>
      <c r="F43" s="316" t="n"/>
      <c r="H43" s="105" t="n"/>
      <c r="I43" s="97" t="n"/>
      <c r="J43" s="97" t="n"/>
      <c r="K43" s="97" t="n"/>
      <c r="L43" s="97" t="n"/>
      <c r="M43" s="97" t="n"/>
      <c r="N43" s="97" t="n"/>
      <c r="O43" s="97" t="n"/>
      <c r="P43" s="97" t="n"/>
      <c r="Q43" s="97" t="n"/>
      <c r="R43" s="97" t="n"/>
      <c r="S43" s="97" t="n"/>
    </row>
    <row r="44" ht="18" customHeight="1" s="276">
      <c r="A44" s="105" t="n"/>
      <c r="B44" s="105" t="n"/>
      <c r="C44" s="105" t="n"/>
      <c r="D44" s="316" t="n"/>
      <c r="E44" s="317" t="n"/>
      <c r="F44" s="316" t="n"/>
      <c r="H44" s="105" t="n"/>
      <c r="I44" s="97" t="n"/>
      <c r="J44" s="97" t="n"/>
      <c r="K44" s="97" t="n"/>
      <c r="L44" s="97" t="n"/>
      <c r="M44" s="97" t="n"/>
      <c r="N44" s="97" t="n"/>
      <c r="O44" s="97" t="n"/>
      <c r="P44" s="97" t="n"/>
      <c r="Q44" s="97" t="n"/>
      <c r="R44" s="97" t="n"/>
      <c r="S44" s="97" t="n"/>
    </row>
    <row r="45" ht="18" customHeight="1" s="276">
      <c r="A45" s="105" t="n"/>
      <c r="B45" s="105" t="n"/>
      <c r="C45" s="105" t="n"/>
      <c r="D45" s="316" t="n"/>
      <c r="E45" s="317" t="n"/>
      <c r="F45" s="316" t="n"/>
      <c r="H45" s="105" t="n"/>
      <c r="I45" s="97" t="n"/>
      <c r="J45" s="97" t="n"/>
      <c r="K45" s="97" t="n"/>
      <c r="L45" s="97" t="n"/>
      <c r="M45" s="97" t="n"/>
      <c r="N45" s="97" t="n"/>
      <c r="O45" s="97" t="n"/>
      <c r="P45" s="97" t="n"/>
      <c r="Q45" s="97" t="n"/>
      <c r="R45" s="97" t="n"/>
      <c r="S45" s="97" t="n"/>
    </row>
    <row r="46" ht="18" customHeight="1" s="276">
      <c r="A46" s="105" t="n"/>
      <c r="B46" s="105" t="n"/>
      <c r="C46" s="105" t="n"/>
      <c r="D46" s="316" t="n"/>
      <c r="E46" s="317" t="n"/>
      <c r="F46" s="316" t="n"/>
      <c r="H46" s="105" t="n"/>
      <c r="I46" s="97" t="n"/>
      <c r="J46" s="97" t="n"/>
      <c r="K46" s="97" t="n"/>
      <c r="L46" s="97" t="n"/>
      <c r="M46" s="97" t="n"/>
      <c r="N46" s="97" t="n"/>
      <c r="O46" s="97" t="n"/>
      <c r="P46" s="97" t="n"/>
      <c r="Q46" s="97" t="n"/>
      <c r="R46" s="97" t="n"/>
      <c r="S46" s="97" t="n"/>
    </row>
    <row r="47" ht="18" customHeight="1" s="276">
      <c r="A47" s="105" t="n"/>
      <c r="B47" s="105" t="n"/>
      <c r="C47" s="105" t="n"/>
      <c r="D47" s="316" t="n"/>
      <c r="E47" s="317" t="n"/>
      <c r="F47" s="316" t="n"/>
      <c r="H47" s="105" t="n"/>
      <c r="I47" s="97" t="n"/>
      <c r="J47" s="97" t="n"/>
      <c r="K47" s="97" t="n"/>
      <c r="L47" s="97" t="n"/>
      <c r="M47" s="97" t="n"/>
      <c r="N47" s="97" t="n"/>
      <c r="O47" s="97" t="n"/>
      <c r="P47" s="97" t="n"/>
      <c r="Q47" s="97" t="n"/>
      <c r="R47" s="97" t="n"/>
      <c r="S47" s="97" t="n"/>
    </row>
    <row r="48" ht="18" customHeight="1" s="276">
      <c r="A48" s="105" t="n"/>
      <c r="B48" s="105" t="n"/>
      <c r="C48" s="105" t="n"/>
      <c r="D48" s="316" t="n"/>
      <c r="E48" s="317" t="n"/>
      <c r="F48" s="316" t="n"/>
      <c r="H48" s="105" t="n"/>
      <c r="I48" s="97" t="n"/>
      <c r="J48" s="97" t="n"/>
      <c r="K48" s="97" t="n"/>
      <c r="L48" s="97" t="n"/>
      <c r="M48" s="97" t="n"/>
      <c r="N48" s="97" t="n"/>
      <c r="O48" s="97" t="n"/>
      <c r="P48" s="97" t="n"/>
      <c r="Q48" s="97" t="n"/>
      <c r="R48" s="97" t="n"/>
      <c r="S48" s="97" t="n"/>
    </row>
    <row r="49" ht="18" customHeight="1" s="276">
      <c r="A49" s="105" t="n"/>
      <c r="B49" s="105" t="n"/>
      <c r="C49" s="105" t="n"/>
      <c r="D49" s="316" t="n"/>
      <c r="E49" s="317" t="n"/>
      <c r="F49" s="316" t="n"/>
      <c r="H49" s="105" t="n"/>
      <c r="I49" s="97" t="n"/>
      <c r="J49" s="97" t="n"/>
      <c r="K49" s="97" t="n"/>
      <c r="L49" s="97" t="n"/>
      <c r="M49" s="97" t="n"/>
      <c r="N49" s="97" t="n"/>
      <c r="O49" s="97" t="n"/>
      <c r="P49" s="97" t="n"/>
      <c r="Q49" s="97" t="n"/>
      <c r="R49" s="97" t="n"/>
      <c r="S49" s="97" t="n"/>
    </row>
    <row r="50" ht="18" customHeight="1" s="276">
      <c r="A50" s="105" t="n"/>
      <c r="B50" s="105" t="n"/>
      <c r="C50" s="105" t="n"/>
      <c r="D50" s="316" t="n"/>
      <c r="E50" s="317" t="n"/>
      <c r="F50" s="316" t="n"/>
      <c r="H50" s="105" t="n"/>
      <c r="I50" s="97" t="n"/>
      <c r="J50" s="97" t="n"/>
      <c r="K50" s="97" t="n"/>
      <c r="L50" s="97" t="n"/>
      <c r="M50" s="97" t="n"/>
      <c r="N50" s="97" t="n"/>
      <c r="O50" s="97" t="n"/>
      <c r="P50" s="97" t="n"/>
      <c r="Q50" s="97" t="n"/>
      <c r="R50" s="97" t="n"/>
      <c r="S50" s="97" t="n"/>
    </row>
    <row r="51" ht="18" customHeight="1" s="276">
      <c r="A51" s="105" t="n"/>
      <c r="B51" s="105" t="n"/>
      <c r="C51" s="105" t="n"/>
      <c r="D51" s="316" t="n"/>
      <c r="E51" s="317" t="n"/>
      <c r="F51" s="316" t="n"/>
      <c r="H51" s="105" t="n"/>
      <c r="I51" s="97" t="n"/>
      <c r="J51" s="97" t="n"/>
      <c r="K51" s="97" t="n"/>
      <c r="L51" s="97" t="n"/>
      <c r="M51" s="97" t="n"/>
      <c r="N51" s="97" t="n"/>
      <c r="O51" s="97" t="n"/>
      <c r="P51" s="97" t="n"/>
      <c r="Q51" s="97" t="n"/>
      <c r="R51" s="97" t="n"/>
      <c r="S51" s="97" t="n"/>
    </row>
    <row r="52" ht="18" customHeight="1" s="276">
      <c r="A52" s="105" t="n"/>
      <c r="B52" s="105" t="n"/>
      <c r="C52" s="105" t="n"/>
      <c r="D52" s="316" t="n"/>
      <c r="E52" s="317" t="n"/>
      <c r="F52" s="316" t="n"/>
      <c r="H52" s="105" t="n"/>
      <c r="I52" s="97" t="n"/>
      <c r="J52" s="97" t="n"/>
      <c r="K52" s="97" t="n"/>
      <c r="L52" s="97" t="n"/>
      <c r="M52" s="97" t="n"/>
      <c r="N52" s="97" t="n"/>
      <c r="O52" s="97" t="n"/>
      <c r="P52" s="97" t="n"/>
      <c r="Q52" s="97" t="n"/>
      <c r="R52" s="97" t="n"/>
      <c r="S52" s="97" t="n"/>
    </row>
    <row r="53" ht="18" customHeight="1" s="276">
      <c r="A53" s="105" t="n"/>
      <c r="B53" s="105" t="n"/>
      <c r="C53" s="105" t="n"/>
      <c r="D53" s="316" t="n"/>
      <c r="E53" s="317" t="n"/>
      <c r="F53" s="316" t="n"/>
      <c r="H53" s="105" t="n"/>
      <c r="I53" s="97" t="n"/>
      <c r="J53" s="97" t="n"/>
      <c r="K53" s="97" t="n"/>
      <c r="L53" s="97" t="n"/>
      <c r="M53" s="97" t="n"/>
      <c r="N53" s="97" t="n"/>
      <c r="O53" s="97" t="n"/>
      <c r="P53" s="97" t="n"/>
      <c r="Q53" s="97" t="n"/>
      <c r="R53" s="97" t="n"/>
      <c r="S53" s="97" t="n"/>
    </row>
  </sheetData>
  <mergeCells count="37">
    <mergeCell ref="C34:D34"/>
    <mergeCell ref="A23:D23"/>
    <mergeCell ref="C30:D30"/>
    <mergeCell ref="F13:R13"/>
    <mergeCell ref="C15:D15"/>
    <mergeCell ref="A35:D35"/>
    <mergeCell ref="C33:D33"/>
    <mergeCell ref="B1:C2"/>
    <mergeCell ref="B25:D26"/>
    <mergeCell ref="C20:D20"/>
    <mergeCell ref="C29:D29"/>
    <mergeCell ref="C16:D16"/>
    <mergeCell ref="S13:S14"/>
    <mergeCell ref="F1:R1"/>
    <mergeCell ref="A25:A26"/>
    <mergeCell ref="C22:D22"/>
    <mergeCell ref="C31:D31"/>
    <mergeCell ref="A24:S24"/>
    <mergeCell ref="F25:R25"/>
    <mergeCell ref="C21:D21"/>
    <mergeCell ref="A13:A14"/>
    <mergeCell ref="C27:D27"/>
    <mergeCell ref="C36:D36"/>
    <mergeCell ref="B13:D14"/>
    <mergeCell ref="C17:D17"/>
    <mergeCell ref="S1:S2"/>
    <mergeCell ref="A37:D37"/>
    <mergeCell ref="C32:D32"/>
    <mergeCell ref="A11:C11"/>
    <mergeCell ref="E25:E26"/>
    <mergeCell ref="A12:S12"/>
    <mergeCell ref="C19:D19"/>
    <mergeCell ref="S25:S26"/>
    <mergeCell ref="C28:D28"/>
    <mergeCell ref="D1:D2"/>
    <mergeCell ref="C18:D18"/>
    <mergeCell ref="A1:A2"/>
  </mergeCells>
  <conditionalFormatting sqref="A3:S11 A15:S23">
    <cfRule type="expression" priority="3" dxfId="9">
      <formula>ISBLANK(A3)</formula>
    </cfRule>
  </conditionalFormatting>
  <conditionalFormatting sqref="A27:S34">
    <cfRule type="expression" priority="1" dxfId="1">
      <formula>ISBLANK(A27)</formula>
    </cfRule>
  </conditionalFormatting>
  <pageMargins left="0.1968503937007874" right="0.1968503937007874" top="0.1968503937007874" bottom="0.1574803149606299" header="0.2755905511811024" footer="0.1181102362204725"/>
  <pageSetup orientation="landscape" scale="65" horizontalDpi="4294967293" verticalDpi="4294967293"/>
  <headerFooter scaleWithDoc="0" alignWithMargins="0">
    <oddHeader>&amp;C&amp;"Arial,Negrito"&amp;12 FAPEU - 12/06/2026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6"/>
  <sheetViews>
    <sheetView tabSelected="1" workbookViewId="0">
      <selection activeCell="A1" sqref="A1:B1"/>
    </sheetView>
    <sheetView topLeftCell="A59" workbookViewId="1">
      <selection activeCell="B97" sqref="B97"/>
    </sheetView>
  </sheetViews>
  <sheetFormatPr baseColWidth="8" defaultRowHeight="12.75"/>
  <cols>
    <col width="55.7109375" bestFit="1" customWidth="1" style="276" min="2" max="2"/>
    <col width="150.42578125" bestFit="1" customWidth="1" style="276" min="4" max="4"/>
    <col width="17.85546875" bestFit="1" customWidth="1" style="276" min="5" max="5"/>
    <col width="10" customWidth="1" style="276" min="6" max="6"/>
    <col width="98" bestFit="1" customWidth="1" style="276" min="7" max="7"/>
  </cols>
  <sheetData>
    <row r="1">
      <c r="A1" s="274" t="inlineStr">
        <is>
          <t>Categorias Finaceiras</t>
        </is>
      </c>
      <c r="B1" s="255" t="n"/>
      <c r="D1" s="167" t="inlineStr">
        <is>
          <t>Log de Cáculo</t>
        </is>
      </c>
      <c r="E1" s="159" t="n"/>
      <c r="F1" s="160" t="n"/>
      <c r="G1" s="159" t="n"/>
    </row>
    <row r="2">
      <c r="A2" s="274" t="inlineStr">
        <is>
          <t>Código</t>
        </is>
      </c>
      <c r="B2" s="156" t="inlineStr">
        <is>
          <t>Descrição</t>
        </is>
      </c>
      <c r="D2" s="159" t="n"/>
      <c r="E2" s="159" t="n"/>
      <c r="F2" s="160" t="n"/>
      <c r="G2" s="159" t="n"/>
    </row>
    <row r="3">
      <c r="A3" s="154" t="n">
        <v>1</v>
      </c>
      <c r="B3" s="153" t="inlineStr">
        <is>
          <t>Reembolso</t>
        </is>
      </c>
      <c r="D3" s="161" t="inlineStr">
        <is>
          <t xml:space="preserve">Receita </t>
        </is>
      </c>
      <c r="E3" s="161" t="inlineStr">
        <is>
          <t xml:space="preserve">Categorias </t>
        </is>
      </c>
      <c r="F3" s="162" t="n">
        <v>15.55</v>
      </c>
      <c r="G3" s="155" t="n"/>
    </row>
    <row r="4">
      <c r="A4" s="154" t="n">
        <v>2</v>
      </c>
      <c r="B4" s="153" t="inlineStr">
        <is>
          <t>Suprimento de fundos</t>
        </is>
      </c>
      <c r="D4" s="161" t="inlineStr">
        <is>
          <t>Despesas</t>
        </is>
      </c>
      <c r="E4" s="161" t="inlineStr">
        <is>
          <t>Categora Diferente</t>
        </is>
      </c>
      <c r="F4" s="162" t="n">
        <v>18</v>
      </c>
      <c r="G4" s="155" t="n"/>
    </row>
    <row r="5">
      <c r="A5" s="154" t="n">
        <v>3</v>
      </c>
      <c r="B5" s="153" t="inlineStr">
        <is>
          <t>Adiantamento para viagens</t>
        </is>
      </c>
      <c r="D5" s="161" t="inlineStr">
        <is>
          <t>Clt</t>
        </is>
      </c>
      <c r="E5" s="161" t="inlineStr">
        <is>
          <t>Detalhamento Folha</t>
        </is>
      </c>
      <c r="F5" s="163" t="inlineStr">
        <is>
          <t>Formula</t>
        </is>
      </c>
      <c r="G5" s="164" t="inlineStr">
        <is>
          <t xml:space="preserve">CUSTO_PROJETO = (VALOR_PROVENTO + VALOR_BENEFICIO + VALOR_ENCARGO + VALOR_PROVISAO) - ESTORNO </t>
        </is>
      </c>
    </row>
    <row r="6">
      <c r="A6" s="154" t="n">
        <v>4</v>
      </c>
      <c r="B6" s="153" t="inlineStr">
        <is>
          <t>Diarias CLT</t>
        </is>
      </c>
      <c r="D6" s="161" t="inlineStr">
        <is>
          <t>PessoalNaoContatado</t>
        </is>
      </c>
      <c r="E6" s="161" t="inlineStr">
        <is>
          <t>Categorias</t>
        </is>
      </c>
      <c r="F6" s="163" t="inlineStr">
        <is>
          <t>6,10,11</t>
        </is>
      </c>
      <c r="G6" s="164" t="n"/>
    </row>
    <row r="7">
      <c r="A7" s="154" t="n">
        <v>5</v>
      </c>
      <c r="B7" s="153" t="inlineStr">
        <is>
          <t>Pessoa Jurídica - NF de VENDAS</t>
        </is>
      </c>
      <c r="D7" s="161" t="inlineStr">
        <is>
          <t>Redoa</t>
        </is>
      </c>
      <c r="E7" s="161" t="inlineStr">
        <is>
          <t>Categorias</t>
        </is>
      </c>
      <c r="F7" s="163" t="n">
        <v>26</v>
      </c>
      <c r="G7" s="164" t="n"/>
    </row>
    <row r="8">
      <c r="A8" s="154" t="n">
        <v>6</v>
      </c>
      <c r="B8" s="153" t="inlineStr">
        <is>
          <t>Bolsa de estágio</t>
        </is>
      </c>
    </row>
    <row r="9">
      <c r="A9" s="154" t="n">
        <v>7</v>
      </c>
      <c r="B9" s="153" t="inlineStr">
        <is>
          <t>Diárias Pessoal Sem Vínculo Empregatício</t>
        </is>
      </c>
      <c r="D9" s="167" t="inlineStr">
        <is>
          <t>Sql Consulta</t>
        </is>
      </c>
    </row>
    <row r="10">
      <c r="A10" s="154" t="n">
        <v>8</v>
      </c>
      <c r="B10" s="153" t="inlineStr">
        <is>
          <t>Impostos e Contribuições PJ</t>
        </is>
      </c>
    </row>
    <row r="11">
      <c r="A11" s="154" t="n">
        <v>9</v>
      </c>
      <c r="B11" s="153" t="inlineStr">
        <is>
          <t>Impostos Pessoal Sem Vínculo Empregatício - RPA</t>
        </is>
      </c>
      <c r="D11" s="157" t="inlineStr">
        <is>
          <t>WITH RECEITA AS</t>
        </is>
      </c>
    </row>
    <row r="12">
      <c r="A12" s="154" t="n">
        <v>10</v>
      </c>
      <c r="B12" s="153" t="inlineStr">
        <is>
          <t>Pessoal sem Vínculo Empregatício - RPA</t>
        </is>
      </c>
      <c r="D12" s="158" t="inlineStr">
        <is>
          <t>(</t>
        </is>
      </c>
    </row>
    <row r="13">
      <c r="A13" s="154" t="n">
        <v>11</v>
      </c>
      <c r="B13" s="153" t="inlineStr">
        <is>
          <t>Bolsas</t>
        </is>
      </c>
      <c r="D13" s="157" t="inlineStr">
        <is>
          <t>SELECT</t>
        </is>
      </c>
    </row>
    <row r="14">
      <c r="A14" s="154" t="n">
        <v>12</v>
      </c>
      <c r="B14" s="153" t="inlineStr">
        <is>
          <t>Transferencia entre Contas</t>
        </is>
      </c>
      <c r="D14" s="168" t="inlineStr">
        <is>
          <t>LR.IDProjetoRateio,</t>
        </is>
      </c>
    </row>
    <row r="15">
      <c r="A15" s="154" t="n">
        <v>13</v>
      </c>
      <c r="B15" s="153" t="inlineStr">
        <is>
          <t>Pessoa Fisica - ALUGUEL</t>
        </is>
      </c>
      <c r="D15" s="169" t="inlineStr">
        <is>
          <t>SUM(LR.ValorRateio) AS TotalReceita</t>
        </is>
      </c>
    </row>
    <row r="16">
      <c r="A16" s="154" t="n">
        <v>14</v>
      </c>
      <c r="B16" s="153" t="inlineStr">
        <is>
          <t>Pessoa Contratado Celetista - CLT</t>
        </is>
      </c>
      <c r="D16" s="157" t="inlineStr">
        <is>
          <t>FROM TBLancamento L (NOLOCK)</t>
        </is>
      </c>
    </row>
    <row r="17">
      <c r="A17" s="165" t="n">
        <v>15</v>
      </c>
      <c r="B17" s="166" t="inlineStr">
        <is>
          <t>Receita</t>
        </is>
      </c>
      <c r="D17" s="157" t="inlineStr">
        <is>
          <t>INNER JOIN TBLancamentoRateio LR (NOLOCK)</t>
        </is>
      </c>
    </row>
    <row r="18">
      <c r="A18" s="154" t="n">
        <v>16</v>
      </c>
      <c r="B18" s="153" t="inlineStr">
        <is>
          <t>Despesas Bancárias</t>
        </is>
      </c>
      <c r="D18" s="157" t="inlineStr">
        <is>
          <t>ON LR.IDLancamentoRateio = L.IDLancamento</t>
        </is>
      </c>
    </row>
    <row r="19">
      <c r="A19" s="154" t="n">
        <v>17</v>
      </c>
      <c r="B19" s="153" t="inlineStr">
        <is>
          <t>Ajuste de Saldo Inicial</t>
        </is>
      </c>
      <c r="D19" s="157" t="inlineStr">
        <is>
          <t>INNER JOIN TBProjeto P (NOLOCK)</t>
        </is>
      </c>
    </row>
    <row r="20">
      <c r="A20" s="154" t="n">
        <v>18</v>
      </c>
      <c r="B20" s="153" t="inlineStr">
        <is>
          <t xml:space="preserve">Aplicação Financeira </t>
        </is>
      </c>
      <c r="D20" s="157" t="inlineStr">
        <is>
          <t>ON P.IDProjeto = LR.IDProjetoRateio</t>
        </is>
      </c>
    </row>
    <row r="21">
      <c r="A21" s="154" t="n">
        <v>19</v>
      </c>
      <c r="B21" s="153" t="inlineStr">
        <is>
          <t>Devolução de Cheque</t>
        </is>
      </c>
      <c r="D21" s="157" t="inlineStr">
        <is>
          <t>WHERE L.IDCategoriaFinanceira in(15,55)</t>
        </is>
      </c>
    </row>
    <row r="22">
      <c r="A22" s="154" t="n">
        <v>20</v>
      </c>
      <c r="B22" s="153" t="inlineStr">
        <is>
          <t>Devolução Recebida</t>
        </is>
      </c>
      <c r="D22" s="157" t="inlineStr">
        <is>
          <t>AND P.CodigoProjetoCompleto IN ('112024','622024','872024','502025','1142025','142026','152026')</t>
        </is>
      </c>
    </row>
    <row r="23">
      <c r="A23" s="154" t="n">
        <v>21</v>
      </c>
      <c r="B23" s="153" t="inlineStr">
        <is>
          <t>Conciliação Anterior</t>
        </is>
      </c>
      <c r="D23" s="157" t="inlineStr">
        <is>
          <t>AND L.Data &gt; 0</t>
        </is>
      </c>
    </row>
    <row r="24">
      <c r="A24" s="154" t="n">
        <v>22</v>
      </c>
      <c r="B24" s="153" t="inlineStr">
        <is>
          <t>Outros</t>
        </is>
      </c>
      <c r="D24" s="157" t="inlineStr">
        <is>
          <t>GROUP BY LR.IDProjetoRateio</t>
        </is>
      </c>
    </row>
    <row r="25">
      <c r="A25" s="154" t="n">
        <v>23</v>
      </c>
      <c r="B25" s="153" t="inlineStr">
        <is>
          <t>Pessoa Jurídica - NF de SERVIÇOS</t>
        </is>
      </c>
      <c r="D25" s="158" t="inlineStr">
        <is>
          <t>),</t>
        </is>
      </c>
    </row>
    <row r="26">
      <c r="A26" s="154" t="n">
        <v>24</v>
      </c>
      <c r="B26" s="153" t="inlineStr">
        <is>
          <t>Pessoa Jurídica - FATURAS</t>
        </is>
      </c>
      <c r="D26" s="168" t="inlineStr">
        <is>
          <t>CLT AS</t>
        </is>
      </c>
    </row>
    <row r="27">
      <c r="A27" s="154" t="n">
        <v>26</v>
      </c>
      <c r="B27" s="153" t="inlineStr">
        <is>
          <t>REDOA</t>
        </is>
      </c>
      <c r="D27" s="158" t="inlineStr">
        <is>
          <t>(</t>
        </is>
      </c>
    </row>
    <row r="28">
      <c r="A28" s="154" t="n">
        <v>27</v>
      </c>
      <c r="B28" s="153" t="inlineStr">
        <is>
          <t>Ações Trabalhistas</t>
        </is>
      </c>
      <c r="D28" s="157" t="inlineStr">
        <is>
          <t>SELECT</t>
        </is>
      </c>
    </row>
    <row r="29">
      <c r="A29" s="154" t="n">
        <v>28</v>
      </c>
      <c r="B29" s="153" t="inlineStr">
        <is>
          <t>Pessoa Jurídica - NF de VENDAS e SERVIÇOS</t>
        </is>
      </c>
      <c r="D29" s="168" t="inlineStr">
        <is>
          <t>LR.IDProjetoRateio,</t>
        </is>
      </c>
    </row>
    <row r="30">
      <c r="A30" s="154" t="n">
        <v>29</v>
      </c>
      <c r="B30" s="153" t="inlineStr">
        <is>
          <t>CÂMBIO</t>
        </is>
      </c>
      <c r="D30" s="169" t="inlineStr">
        <is>
          <t>SUM(LR.ValorRateio) AS TotalCLT</t>
        </is>
      </c>
    </row>
    <row r="31">
      <c r="A31" s="154" t="n">
        <v>30</v>
      </c>
      <c r="B31" s="153" t="inlineStr">
        <is>
          <t>Pessoal Jurídica -  ALUGUEL</t>
        </is>
      </c>
      <c r="D31" s="157" t="inlineStr">
        <is>
          <t>FROM TBLancamento L (NOLOCK)</t>
        </is>
      </c>
    </row>
    <row r="32">
      <c r="A32" s="154" t="n">
        <v>31</v>
      </c>
      <c r="B32" s="153" t="inlineStr">
        <is>
          <t>GRU - Devolução de recursos ao órgão financiador</t>
        </is>
      </c>
      <c r="D32" s="157" t="inlineStr">
        <is>
          <t>INNER JOIN TBLancamentoRateio LR (NOLOCK)</t>
        </is>
      </c>
    </row>
    <row r="33">
      <c r="A33" s="154" t="n">
        <v>32</v>
      </c>
      <c r="B33" s="153" t="inlineStr">
        <is>
          <t>Pessoa Jurídica - Sem Fornecedor</t>
        </is>
      </c>
      <c r="D33" s="157" t="inlineStr">
        <is>
          <t>ON LR.IDLancamentoRateio = L.IDLancamento</t>
        </is>
      </c>
    </row>
    <row r="34">
      <c r="A34" s="154" t="n">
        <v>33</v>
      </c>
      <c r="B34" s="153" t="inlineStr">
        <is>
          <t>Variação Cambial</t>
        </is>
      </c>
      <c r="D34" s="157" t="inlineStr">
        <is>
          <t>INNER JOIN TBProjeto P (NOLOCK)</t>
        </is>
      </c>
    </row>
    <row r="35">
      <c r="A35" s="154" t="n">
        <v>34</v>
      </c>
      <c r="B35" s="153" t="inlineStr">
        <is>
          <t>FOLHA DE PAGAMENTO</t>
        </is>
      </c>
      <c r="D35" s="157" t="inlineStr">
        <is>
          <t>ON P.IDProjeto = LR.IDProjetoRateio</t>
        </is>
      </c>
    </row>
    <row r="36">
      <c r="A36" s="154" t="n">
        <v>35</v>
      </c>
      <c r="B36" s="153" t="inlineStr">
        <is>
          <t>Empréstimo Concedido</t>
        </is>
      </c>
      <c r="D36" s="157" t="inlineStr">
        <is>
          <t>WHERE L.IDCategoriaFinanceira in(4,14)</t>
        </is>
      </c>
    </row>
    <row r="37">
      <c r="A37" s="154" t="n">
        <v>36</v>
      </c>
      <c r="B37" s="153" t="inlineStr">
        <is>
          <t>Devolução Empréstimo</t>
        </is>
      </c>
      <c r="D37" s="157" t="inlineStr">
        <is>
          <t>AND P.CodigoProjetoCompleto IN ('112024','622024','872024','502025','1142025','142026','152026')</t>
        </is>
      </c>
    </row>
    <row r="38">
      <c r="A38" s="154" t="n">
        <v>37</v>
      </c>
      <c r="B38" s="153" t="inlineStr">
        <is>
          <t>Taxas UFSC - Ressarcimentos à UFSC</t>
        </is>
      </c>
      <c r="D38" s="157" t="inlineStr">
        <is>
          <t>AND L.Data &gt; 0</t>
        </is>
      </c>
    </row>
    <row r="39">
      <c r="A39" s="154" t="n">
        <v>39</v>
      </c>
      <c r="B39" s="153" t="inlineStr">
        <is>
          <t>Imposto e Contribuições Pessoal - CLT</t>
        </is>
      </c>
      <c r="D39" s="157" t="inlineStr">
        <is>
          <t>GROUP BY LR.IDProjetoRateio</t>
        </is>
      </c>
    </row>
    <row r="40">
      <c r="A40" s="154" t="n">
        <v>41</v>
      </c>
      <c r="B40" s="153" t="inlineStr">
        <is>
          <t>Outras Devoluções</t>
        </is>
      </c>
      <c r="D40" s="158" t="inlineStr">
        <is>
          <t>),</t>
        </is>
      </c>
    </row>
    <row r="41">
      <c r="A41" s="154" t="n">
        <v>42</v>
      </c>
      <c r="B41" s="153" t="inlineStr">
        <is>
          <t>Pagamento de Ferias</t>
        </is>
      </c>
      <c r="D41" s="168" t="inlineStr">
        <is>
          <t>PESSOAL_NAO_CONTRATADO AS</t>
        </is>
      </c>
    </row>
    <row r="42">
      <c r="A42" s="154" t="n">
        <v>43</v>
      </c>
      <c r="B42" s="153" t="inlineStr">
        <is>
          <t>Pagamento de Rescisão</t>
        </is>
      </c>
      <c r="D42" s="158" t="inlineStr">
        <is>
          <t>(</t>
        </is>
      </c>
    </row>
    <row r="43">
      <c r="A43" s="154" t="n">
        <v>44</v>
      </c>
      <c r="B43" s="153" t="inlineStr">
        <is>
          <t>Estorno</t>
        </is>
      </c>
      <c r="D43" s="157" t="inlineStr">
        <is>
          <t>SELECT</t>
        </is>
      </c>
    </row>
    <row r="44">
      <c r="A44" s="154" t="n">
        <v>45</v>
      </c>
      <c r="B44" s="153" t="inlineStr">
        <is>
          <t>Doc Devolvido</t>
        </is>
      </c>
      <c r="D44" s="168" t="inlineStr">
        <is>
          <t>LR.IDProjetoRateio,</t>
        </is>
      </c>
    </row>
    <row r="45">
      <c r="A45" s="154" t="n">
        <v>46</v>
      </c>
      <c r="B45" s="153" t="inlineStr">
        <is>
          <t>Pagamento de Doc Devolvido</t>
        </is>
      </c>
      <c r="D45" s="169" t="inlineStr">
        <is>
          <t>SUM(LR.ValorRateio) AS TotalPessoalNaoContratado</t>
        </is>
      </c>
    </row>
    <row r="46">
      <c r="A46" s="154" t="n">
        <v>47</v>
      </c>
      <c r="B46" s="153" t="inlineStr">
        <is>
          <t>Retorno de Provisão de RH</t>
        </is>
      </c>
      <c r="D46" s="157" t="inlineStr">
        <is>
          <t>FROM TBLancamento L (NOLOCK)</t>
        </is>
      </c>
    </row>
    <row r="47">
      <c r="A47" s="154" t="n">
        <v>48</v>
      </c>
      <c r="B47" s="153" t="inlineStr">
        <is>
          <t>ReCON</t>
        </is>
      </c>
      <c r="D47" s="157" t="inlineStr">
        <is>
          <t>INNER JOIN TBLancamentoRateio LR (NOLOCK)</t>
        </is>
      </c>
    </row>
    <row r="48">
      <c r="A48" s="154" t="n">
        <v>49</v>
      </c>
      <c r="B48" s="153" t="inlineStr">
        <is>
          <t>Ajuste das Receitas</t>
        </is>
      </c>
      <c r="D48" s="157" t="inlineStr">
        <is>
          <t>ON LR.IDLancamentoRateio = L.IDLancamento</t>
        </is>
      </c>
    </row>
    <row r="49">
      <c r="A49" s="154" t="n">
        <v>50</v>
      </c>
      <c r="B49" s="153" t="inlineStr">
        <is>
          <t>Ajuste das Despesas</t>
        </is>
      </c>
      <c r="D49" s="157" t="inlineStr">
        <is>
          <t>INNER JOIN TBProjeto P (NOLOCK)</t>
        </is>
      </c>
    </row>
    <row r="50">
      <c r="A50" s="154" t="n">
        <v>51</v>
      </c>
      <c r="B50" s="153" t="inlineStr">
        <is>
          <t>Transferência de Saldo entre Projetos Livres</t>
        </is>
      </c>
      <c r="D50" s="157" t="inlineStr">
        <is>
          <t>ON P.IDProjeto = LR.IDProjetoRateio</t>
        </is>
      </c>
    </row>
    <row r="51">
      <c r="A51" s="154" t="n">
        <v>53</v>
      </c>
      <c r="B51" s="153" t="inlineStr">
        <is>
          <t>Transferência de Saldo Remanescente de Projetos Livres</t>
        </is>
      </c>
      <c r="D51" s="157" t="inlineStr">
        <is>
          <t>WHERE L.IDCategoriaFinanceira IN (6,10,11)</t>
        </is>
      </c>
    </row>
    <row r="52">
      <c r="A52" s="154" t="n">
        <v>54</v>
      </c>
      <c r="B52" s="153" t="inlineStr">
        <is>
          <t>Pagamentos de Encargos Financeiros (At.Monet, Juros, Multa)</t>
        </is>
      </c>
      <c r="D52" s="157" t="inlineStr">
        <is>
          <t>AND P.CodigoProjetoCompleto IN ('112024','622024','872024','502025','1142025','142026','152026')</t>
        </is>
      </c>
    </row>
    <row r="53">
      <c r="A53" s="165" t="n">
        <v>55</v>
      </c>
      <c r="B53" s="166" t="inlineStr">
        <is>
          <t>Receitas - Outros Créditos</t>
        </is>
      </c>
      <c r="D53" s="157" t="inlineStr">
        <is>
          <t>AND L.Data &gt; 0</t>
        </is>
      </c>
    </row>
    <row r="54">
      <c r="A54" s="154" t="n">
        <v>56</v>
      </c>
      <c r="B54" s="153" t="inlineStr">
        <is>
          <t>Devolução Efetuada</t>
        </is>
      </c>
      <c r="D54" s="157" t="inlineStr">
        <is>
          <t>GROUP BY LR.IDProjetoRateio</t>
        </is>
      </c>
    </row>
    <row r="55">
      <c r="A55" s="154" t="n">
        <v>57</v>
      </c>
      <c r="B55" s="153" t="inlineStr">
        <is>
          <t>Restituição de Encargos Financeiros (At. Monet., Juros e Multa)</t>
        </is>
      </c>
      <c r="D55" s="158" t="inlineStr">
        <is>
          <t>),</t>
        </is>
      </c>
    </row>
    <row r="56">
      <c r="A56" s="154" t="n">
        <v>58</v>
      </c>
      <c r="B56" s="153" t="inlineStr">
        <is>
          <t>Adiantamento Concedido</t>
        </is>
      </c>
      <c r="D56" s="168" t="inlineStr">
        <is>
          <t>REDOA AS</t>
        </is>
      </c>
    </row>
    <row r="57">
      <c r="A57" s="154" t="n">
        <v>59</v>
      </c>
      <c r="B57" s="153" t="inlineStr">
        <is>
          <t>Devolução de Adiantamento</t>
        </is>
      </c>
      <c r="D57" s="158" t="inlineStr">
        <is>
          <t>(</t>
        </is>
      </c>
    </row>
    <row r="58">
      <c r="A58" s="154" t="n">
        <v>60</v>
      </c>
      <c r="B58" s="153" t="inlineStr">
        <is>
          <t>Estorno entre contas por lançamento indevido</t>
        </is>
      </c>
      <c r="D58" s="157" t="inlineStr">
        <is>
          <t>SELECT</t>
        </is>
      </c>
    </row>
    <row r="59">
      <c r="A59" s="154" t="n">
        <v>61</v>
      </c>
      <c r="B59" s="153" t="inlineStr">
        <is>
          <t>Creditos a Regularizar</t>
        </is>
      </c>
      <c r="D59" s="168" t="inlineStr">
        <is>
          <t>LR.IDProjetoRateio,</t>
        </is>
      </c>
    </row>
    <row r="60">
      <c r="A60" s="154" t="n">
        <v>62</v>
      </c>
      <c r="B60" s="153" t="inlineStr">
        <is>
          <t>Pagamento de depósito judicial</t>
        </is>
      </c>
      <c r="D60" s="169" t="inlineStr">
        <is>
          <t>SUM(LR.ValorRateio) AS TotalRedoa</t>
        </is>
      </c>
    </row>
    <row r="61">
      <c r="A61" s="154" t="n">
        <v>63</v>
      </c>
      <c r="B61" s="153" t="inlineStr">
        <is>
          <t>Pagamento de custas/acordos trabalhistas</t>
        </is>
      </c>
      <c r="D61" s="157" t="inlineStr">
        <is>
          <t>FROM TBLancamento L (NOLOCK)</t>
        </is>
      </c>
    </row>
    <row r="62">
      <c r="A62" s="154" t="n">
        <v>64</v>
      </c>
      <c r="B62" s="153" t="inlineStr">
        <is>
          <t>Pensão judicial</t>
        </is>
      </c>
      <c r="D62" s="157" t="inlineStr">
        <is>
          <t>INNER JOIN TBLancamentoRateio LR (NOLOCK)</t>
        </is>
      </c>
    </row>
    <row r="63">
      <c r="A63" s="154" t="n">
        <v>65</v>
      </c>
      <c r="B63" s="153" t="inlineStr">
        <is>
          <t>Cauções/Garantias</t>
        </is>
      </c>
      <c r="D63" s="157" t="inlineStr">
        <is>
          <t>ON LR.IDLancamentoRateio = L.IDLancamento</t>
        </is>
      </c>
    </row>
    <row r="64">
      <c r="A64" s="154" t="n">
        <v>66</v>
      </c>
      <c r="B64" s="153" t="inlineStr">
        <is>
          <t>Devolução/Recebimento Depósito Judicial</t>
        </is>
      </c>
      <c r="D64" s="157" t="inlineStr">
        <is>
          <t>INNER JOIN TBProjeto P (NOLOCK)</t>
        </is>
      </c>
    </row>
    <row r="65">
      <c r="A65" s="154" t="n">
        <v>67</v>
      </c>
      <c r="B65" s="153" t="inlineStr">
        <is>
          <t>Receitas - Outros Crédito</t>
        </is>
      </c>
      <c r="D65" s="157" t="inlineStr">
        <is>
          <t>ON P.IDProjeto = LR.IDProjetoRateio</t>
        </is>
      </c>
    </row>
    <row r="66">
      <c r="A66" s="154" t="n">
        <v>68</v>
      </c>
      <c r="B66" s="153" t="inlineStr">
        <is>
          <t>Saldo inicial - migração de saldo do sistema PROF para Gemini</t>
        </is>
      </c>
      <c r="D66" s="157" t="inlineStr">
        <is>
          <t>WHERE L.IDCategoriaFinanceira = 26</t>
        </is>
      </c>
    </row>
    <row r="67">
      <c r="A67" s="154" t="n">
        <v>69</v>
      </c>
      <c r="B67" s="153" t="inlineStr">
        <is>
          <t>Transferência de Saldo de cutro prazo para longo prazo</t>
        </is>
      </c>
      <c r="D67" s="157" t="inlineStr">
        <is>
          <t>AND P.CodigoProjetoCompleto IN ('112024','622024','872024','502025','1142025','142026','152026')</t>
        </is>
      </c>
    </row>
    <row r="68">
      <c r="D68" s="157" t="inlineStr">
        <is>
          <t>AND L.Data &gt; 0</t>
        </is>
      </c>
    </row>
    <row r="69">
      <c r="D69" s="157" t="inlineStr">
        <is>
          <t>GROUP BY LR.IDProjetoRateio</t>
        </is>
      </c>
    </row>
    <row r="70">
      <c r="D70" s="158" t="inlineStr">
        <is>
          <t>),</t>
        </is>
      </c>
    </row>
    <row r="71">
      <c r="D71" s="168" t="inlineStr">
        <is>
          <t>DESPESAS AS</t>
        </is>
      </c>
    </row>
    <row r="72">
      <c r="D72" s="158" t="inlineStr">
        <is>
          <t>(</t>
        </is>
      </c>
    </row>
    <row r="73">
      <c r="D73" s="157" t="inlineStr">
        <is>
          <t>SELECT</t>
        </is>
      </c>
    </row>
    <row r="74">
      <c r="D74" s="168" t="inlineStr">
        <is>
          <t>LR.IDProjetoRateio,</t>
        </is>
      </c>
    </row>
    <row r="75">
      <c r="D75" s="169" t="inlineStr">
        <is>
          <t>SUM(LR.ValorRateio) AS TotalDespesas</t>
        </is>
      </c>
    </row>
    <row r="76">
      <c r="D76" s="157" t="inlineStr">
        <is>
          <t>FROM TBLancamento L (NOLOCK)</t>
        </is>
      </c>
    </row>
    <row r="77">
      <c r="D77" s="157" t="inlineStr">
        <is>
          <t>INNER JOIN TBLancamentoRateio LR (NOLOCK) ON LR.IDLancamentoRateio = L.IDLancamento</t>
        </is>
      </c>
    </row>
    <row r="78">
      <c r="D78" s="157" t="inlineStr">
        <is>
          <t>INNER JOIN TBProjeto P (NOLOCK) ON P.IDProjeto = LR.IDProjetoRateio</t>
        </is>
      </c>
    </row>
    <row r="79">
      <c r="D79" s="157" t="inlineStr">
        <is>
          <t>INNER JOIN tbcategoriafinanceira tbcategoriafinanceira (NOLOCK) ON tbcategoriafinanceira.IDCategoriaFinanceira = L.IDCategoriaFinanceira</t>
        </is>
      </c>
    </row>
    <row r="80">
      <c r="D80" s="157" t="inlineStr">
        <is>
          <t>WHERE</t>
        </is>
      </c>
    </row>
    <row r="81">
      <c r="D81" s="168" t="inlineStr">
        <is>
          <t>tbcategoriafinanceira.receita = 0</t>
        </is>
      </c>
    </row>
    <row r="82">
      <c r="D82" s="157" t="inlineStr">
        <is>
          <t>AND P.CodigoProjetoCompleto IN ('112024','622024','872024','502025','1142025','142026','152026')</t>
        </is>
      </c>
    </row>
    <row r="83">
      <c r="D83" s="157" t="inlineStr">
        <is>
          <t>AND L.Data &gt; 0</t>
        </is>
      </c>
    </row>
    <row r="84">
      <c r="D84" s="157" t="inlineStr">
        <is>
          <t>AND L.CreditoDebito = 2</t>
        </is>
      </c>
    </row>
    <row r="85">
      <c r="D85" s="157" t="inlineStr">
        <is>
          <t>GROUP BY LR.IDProjetoRateio</t>
        </is>
      </c>
    </row>
    <row r="86">
      <c r="D86" s="158" t="inlineStr">
        <is>
          <t>)</t>
        </is>
      </c>
    </row>
    <row r="87">
      <c r="D87" s="157" t="inlineStr">
        <is>
          <t>SELECT</t>
        </is>
      </c>
    </row>
    <row r="88">
      <c r="D88" s="168" t="inlineStr">
        <is>
          <t>P.CodigoProjetoCompleto AS cdProjeto,</t>
        </is>
      </c>
    </row>
    <row r="89">
      <c r="D89" s="170" t="inlineStr">
        <is>
          <t>DB_DRHFLOW.DBO.FORMATA_PROJETO_GEMINI_RM(P.CodigoProjetoCompleto) AS PRJ,</t>
        </is>
      </c>
    </row>
    <row r="90">
      <c r="D90" s="169" t="inlineStr">
        <is>
          <t>FORMAT(ISNULL(R.TotalReceita,0),'N2','pt-BR') AS TotalReceita,</t>
        </is>
      </c>
    </row>
    <row r="91">
      <c r="D91" s="169" t="inlineStr">
        <is>
          <t>FORMAT(ISNULL(D.TotalDespesas,0),'N2','pt-BR') AS TotalDespesas,</t>
        </is>
      </c>
    </row>
    <row r="92">
      <c r="D92" s="169" t="inlineStr">
        <is>
          <t>FORMAT(ISNULL( db_drhflow.dbo.TOTAL_CLT_PROJETO(DB_DRHFLOW.DBO.FORMATA_PROJETO_GEMINI_RM(P.CodigoProjetoCompleto)),0),'N2','pt-BR') AS TotalCLT,</t>
        </is>
      </c>
    </row>
    <row r="93">
      <c r="D93" s="169" t="inlineStr">
        <is>
          <t>FORMAT(ISNULL(PNC.TotalPessoalNaoContratado,0),'N2','pt-BR') AS TotalPessoalNaoContratado,</t>
        </is>
      </c>
    </row>
    <row r="94">
      <c r="D94" s="169" t="inlineStr">
        <is>
          <t>FORMAT(ISNULL(RD.TotalRedoa,0),'N2','pt-BR') AS TotalRedoa</t>
        </is>
      </c>
    </row>
    <row r="95">
      <c r="D95" s="157" t="inlineStr">
        <is>
          <t>FROM RECEITA R</t>
        </is>
      </c>
    </row>
    <row r="96">
      <c r="D96" s="157" t="inlineStr">
        <is>
          <t>LEFT JOIN CLT C</t>
        </is>
      </c>
    </row>
    <row r="97">
      <c r="D97" s="157" t="inlineStr">
        <is>
          <t>ON C.IDProjetoRateio = R.IDProjetoRateio</t>
        </is>
      </c>
    </row>
    <row r="98">
      <c r="D98" s="157" t="inlineStr">
        <is>
          <t>LEFT JOIN DESPESAS D</t>
        </is>
      </c>
    </row>
    <row r="99">
      <c r="D99" s="157" t="inlineStr">
        <is>
          <t>ON D.IDProjetoRateio = R.IDProjetoRateio</t>
        </is>
      </c>
    </row>
    <row r="100">
      <c r="D100" s="157" t="inlineStr">
        <is>
          <t>LEFT JOIN PESSOAL_NAO_CONTRATADO PNC</t>
        </is>
      </c>
    </row>
    <row r="101">
      <c r="D101" s="157" t="inlineStr">
        <is>
          <t>ON PNC.IDProjetoRateio = R.IDProjetoRateio</t>
        </is>
      </c>
    </row>
    <row r="102">
      <c r="D102" s="157" t="inlineStr">
        <is>
          <t>LEFT JOIN REDOA RD</t>
        </is>
      </c>
    </row>
    <row r="103">
      <c r="D103" s="157" t="inlineStr">
        <is>
          <t>ON RD.IDProjetoRateio = R.IDProjetoRateio</t>
        </is>
      </c>
    </row>
    <row r="104">
      <c r="D104" s="157" t="inlineStr">
        <is>
          <t>INNER JOIN TBProjeto P (NOLOCK)</t>
        </is>
      </c>
    </row>
    <row r="105">
      <c r="D105" s="157" t="inlineStr">
        <is>
          <t>ON P.IDProjeto = R.IDProjetoRateio</t>
        </is>
      </c>
    </row>
    <row r="106">
      <c r="D106" s="157" t="inlineStr">
        <is>
          <t>ORDER BY P.CodigoProjetoCompleto;</t>
        </is>
      </c>
    </row>
  </sheetData>
  <mergeCells count="1">
    <mergeCell ref="A1:B1"/>
  </mergeCells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  <sheetView tabSelected="1" workbookViewId="1">
      <selection activeCell="H11" sqref="A1:H11"/>
    </sheetView>
  </sheetViews>
  <sheetFormatPr baseColWidth="8" defaultRowHeight="12.75"/>
  <cols>
    <col width="8.85546875" bestFit="1" customWidth="1" style="276" min="1" max="1"/>
    <col width="8.5703125" bestFit="1" customWidth="1" style="276" min="2" max="2"/>
    <col width="14" bestFit="1" customWidth="1" style="276" min="3" max="5"/>
    <col width="24.42578125" bestFit="1" customWidth="1" style="276" min="6" max="6"/>
    <col width="12.85546875" bestFit="1" customWidth="1" style="276" min="7" max="7"/>
  </cols>
  <sheetData>
    <row r="1">
      <c r="A1" t="inlineStr">
        <is>
          <t>cdProjeto</t>
        </is>
      </c>
      <c r="B1" t="inlineStr">
        <is>
          <t>PRJ</t>
        </is>
      </c>
      <c r="C1" t="inlineStr">
        <is>
          <t>TotalReceita</t>
        </is>
      </c>
      <c r="D1" t="inlineStr">
        <is>
          <t>TotalDespesas</t>
        </is>
      </c>
      <c r="E1" t="inlineStr">
        <is>
          <t>TotalCLT</t>
        </is>
      </c>
      <c r="F1" t="inlineStr">
        <is>
          <t>TotalPessoalNaoContratado</t>
        </is>
      </c>
      <c r="G1" t="inlineStr">
        <is>
          <t>TotalRedoa</t>
        </is>
      </c>
    </row>
    <row r="2">
      <c r="A2" t="inlineStr">
        <is>
          <t>112024</t>
        </is>
      </c>
      <c r="B2" t="inlineStr">
        <is>
          <t>2024.011</t>
        </is>
      </c>
      <c r="C2" s="318" t="n">
        <v>37371852</v>
      </c>
      <c r="D2" s="318" t="n">
        <v>40809975.72</v>
      </c>
      <c r="E2" s="318" t="n">
        <v>27618822.58</v>
      </c>
      <c r="F2" s="318" t="n">
        <v>3022277.58</v>
      </c>
      <c r="G2" s="318" t="n">
        <v>2821574.82</v>
      </c>
    </row>
    <row r="3">
      <c r="A3" t="inlineStr">
        <is>
          <t>1142025</t>
        </is>
      </c>
      <c r="B3" t="inlineStr">
        <is>
          <t>2025.114</t>
        </is>
      </c>
      <c r="C3" s="318" t="n">
        <v>25200000</v>
      </c>
      <c r="D3" s="318" t="n">
        <v>9614566.630000001</v>
      </c>
      <c r="E3" s="318" t="n">
        <v>4604998.83</v>
      </c>
      <c r="F3" s="318" t="n">
        <v>456194.92</v>
      </c>
      <c r="G3" s="318" t="n">
        <v>1902600</v>
      </c>
    </row>
    <row r="4">
      <c r="A4" t="inlineStr">
        <is>
          <t>142026</t>
        </is>
      </c>
      <c r="B4" t="inlineStr">
        <is>
          <t>2026.014</t>
        </is>
      </c>
      <c r="C4" s="318" t="n">
        <v>330031</v>
      </c>
      <c r="D4" s="318" t="n">
        <v>281218.77</v>
      </c>
      <c r="E4" s="318" t="n">
        <v>166922.22</v>
      </c>
      <c r="F4" s="318" t="n">
        <v>43619.5</v>
      </c>
      <c r="G4" s="318" t="n">
        <v>24592.25</v>
      </c>
    </row>
    <row r="5">
      <c r="A5" t="inlineStr">
        <is>
          <t>502025</t>
        </is>
      </c>
      <c r="B5" t="inlineStr">
        <is>
          <t>2025.050</t>
        </is>
      </c>
      <c r="C5" s="318" t="n">
        <v>1989653</v>
      </c>
      <c r="D5" s="318" t="n">
        <v>1645034.71</v>
      </c>
      <c r="E5" s="318" t="n">
        <v>216680.51</v>
      </c>
      <c r="F5" s="318" t="n">
        <v>303083.46</v>
      </c>
      <c r="G5" s="318" t="n">
        <v>198965.3</v>
      </c>
    </row>
    <row r="6">
      <c r="A6" t="inlineStr">
        <is>
          <t>622024</t>
        </is>
      </c>
      <c r="B6" t="inlineStr">
        <is>
          <t>2024.062</t>
        </is>
      </c>
      <c r="C6" s="318" t="n">
        <v>14412319</v>
      </c>
      <c r="D6" s="318" t="n">
        <v>19260998.75</v>
      </c>
      <c r="E6" s="318" t="n">
        <v>15834735.28</v>
      </c>
      <c r="F6" s="318" t="n">
        <v>360237.76</v>
      </c>
      <c r="G6" s="318" t="n">
        <v>1191898.8</v>
      </c>
    </row>
    <row r="7">
      <c r="A7" t="inlineStr">
        <is>
          <t>872024</t>
        </is>
      </c>
      <c r="B7" t="inlineStr">
        <is>
          <t>2024.087</t>
        </is>
      </c>
      <c r="C7" s="318" t="n">
        <v>3116712.19</v>
      </c>
      <c r="D7" s="318" t="n">
        <v>4474028.78</v>
      </c>
      <c r="E7" s="318" t="n">
        <v>2914812.09</v>
      </c>
      <c r="F7" s="318" t="n">
        <v>275856.17</v>
      </c>
      <c r="G7" s="318" t="n">
        <v>257128.76</v>
      </c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9"/>
  <sheetViews>
    <sheetView workbookViewId="0">
      <selection activeCell="A1" sqref="A1"/>
    </sheetView>
    <sheetView workbookViewId="1">
      <selection activeCell="C32" sqref="C32"/>
    </sheetView>
  </sheetViews>
  <sheetFormatPr baseColWidth="8" defaultRowHeight="15"/>
  <cols>
    <col width="14" customWidth="1" style="119" min="1" max="1"/>
    <col width="15.7109375" bestFit="1" customWidth="1" style="119" min="2" max="2"/>
    <col width="17.5703125" bestFit="1" customWidth="1" style="119" min="3" max="3"/>
    <col width="9.140625" customWidth="1" style="119" min="4" max="5"/>
    <col width="9.140625" customWidth="1" style="119" min="6" max="16384"/>
  </cols>
  <sheetData>
    <row r="2">
      <c r="B2" s="119" t="inlineStr">
        <is>
          <t>Receitas</t>
        </is>
      </c>
      <c r="C2" s="119" t="inlineStr">
        <is>
          <t>Despesas</t>
        </is>
      </c>
    </row>
    <row r="3" ht="15.75" customHeight="1" s="276">
      <c r="A3" s="120" t="inlineStr">
        <is>
          <t>011/2024</t>
        </is>
      </c>
      <c r="B3" s="319" t="n">
        <v>32902922</v>
      </c>
      <c r="C3" s="320" t="n">
        <v>40934160</v>
      </c>
    </row>
    <row r="4" ht="15.75" customHeight="1" s="276">
      <c r="A4" s="120" t="inlineStr">
        <is>
          <t>062/2024</t>
        </is>
      </c>
      <c r="B4" s="319" t="n">
        <v>11912464</v>
      </c>
      <c r="C4" s="320" t="n">
        <v>19520464</v>
      </c>
      <c r="E4" s="119" t="inlineStr">
        <is>
          <t>Excluir empréstimo</t>
        </is>
      </c>
    </row>
    <row r="5" ht="15.75" customHeight="1" s="276">
      <c r="A5" s="120" t="inlineStr">
        <is>
          <t>087/2024</t>
        </is>
      </c>
      <c r="B5" s="319" t="n">
        <v>3016712.19</v>
      </c>
      <c r="C5" s="320" t="n">
        <v>4699312.19</v>
      </c>
      <c r="E5" s="119" t="inlineStr">
        <is>
          <t>Excluir aplicação</t>
        </is>
      </c>
    </row>
    <row r="6" ht="15.75" customHeight="1" s="276">
      <c r="A6" s="120" t="inlineStr">
        <is>
          <t>050/2025</t>
        </is>
      </c>
      <c r="B6" s="319" t="n">
        <v>1989653</v>
      </c>
      <c r="C6" s="320" t="n">
        <v>2464282.94</v>
      </c>
      <c r="E6" s="119" t="inlineStr">
        <is>
          <t>incluir o rendimento de aplicação</t>
        </is>
      </c>
    </row>
    <row r="7" ht="15.75" customHeight="1" s="276">
      <c r="A7" s="120" t="inlineStr">
        <is>
          <t>114/2025</t>
        </is>
      </c>
      <c r="B7" s="319" t="n">
        <v>25200000</v>
      </c>
      <c r="C7" s="320" t="n">
        <v>10271238.42</v>
      </c>
    </row>
    <row r="8" ht="15.75" customHeight="1" s="276">
      <c r="A8" s="120" t="inlineStr">
        <is>
          <t>014/2026</t>
        </is>
      </c>
      <c r="B8" s="319" t="n">
        <v>330031</v>
      </c>
      <c r="C8" s="320" t="n">
        <v>261157.66</v>
      </c>
    </row>
    <row r="9" ht="15.75" customHeight="1" s="276">
      <c r="A9" s="120" t="inlineStr">
        <is>
          <t>015/2026</t>
        </is>
      </c>
      <c r="B9" s="319" t="n">
        <v>0</v>
      </c>
      <c r="C9" s="320" t="n">
        <v>0</v>
      </c>
    </row>
  </sheetData>
  <conditionalFormatting sqref="A3:B9">
    <cfRule type="expression" priority="1" dxfId="9">
      <formula>ISBLANK(A3)</formula>
    </cfRule>
  </conditionalFormatting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W32"/>
  <sheetViews>
    <sheetView showGridLines="0" workbookViewId="0">
      <selection activeCell="B4" sqref="B4"/>
    </sheetView>
    <sheetView workbookViewId="1">
      <selection activeCell="A1" sqref="A1"/>
    </sheetView>
  </sheetViews>
  <sheetFormatPr baseColWidth="8" defaultRowHeight="12.75"/>
  <cols>
    <col width="2" customWidth="1" style="276" min="1" max="1"/>
    <col width="28.140625" customWidth="1" style="276" min="2" max="2"/>
    <col width="16.5703125" bestFit="1" customWidth="1" style="276" min="3" max="3"/>
    <col width="1.42578125" customWidth="1" style="276" min="4" max="4"/>
    <col width="0.28515625" customWidth="1" style="276" min="5" max="5"/>
    <col width="13.5703125" bestFit="1" customWidth="1" style="276" min="6" max="6"/>
    <col width="4.5703125" customWidth="1" style="276" min="7" max="7"/>
    <col width="31.5703125" customWidth="1" style="276" min="8" max="8"/>
    <col width="8.7109375" customWidth="1" style="276" min="9" max="9"/>
    <col width="0.28515625" customWidth="1" style="276" min="10" max="10"/>
    <col width="11.7109375" customWidth="1" style="276" min="11" max="11"/>
    <col width="12.28515625" customWidth="1" style="276" min="12" max="12"/>
    <col width="18.5703125" customWidth="1" style="276" min="13" max="13"/>
    <col width="12.140625" customWidth="1" style="276" min="14" max="14"/>
    <col width="11.85546875" customWidth="1" style="276" min="15" max="15"/>
    <col width="12" customWidth="1" style="276" min="16" max="16"/>
    <col width="11.85546875" customWidth="1" style="276" min="17" max="20"/>
    <col width="11.28515625" bestFit="1" customWidth="1" style="276" min="21" max="22"/>
    <col width="11.7109375" customWidth="1" style="276" min="23" max="23"/>
  </cols>
  <sheetData>
    <row r="2" ht="23.25" customHeight="1" s="276">
      <c r="B2" s="275" t="inlineStr">
        <is>
          <t>Análise por projeto</t>
        </is>
      </c>
    </row>
    <row r="3" ht="12" customHeight="1" s="276" thickBot="1"/>
    <row r="4" ht="15.75" customHeight="1" s="276" thickBot="1">
      <c r="B4" s="148" t="inlineStr">
        <is>
          <t>Número do Projeto</t>
        </is>
      </c>
      <c r="C4" s="152" t="inlineStr">
        <is>
          <t>014/2026</t>
        </is>
      </c>
      <c r="F4">
        <f>VLOOKUP(C4,FAPEU!B3:C10,2,0)</f>
        <v/>
      </c>
    </row>
    <row r="5">
      <c r="B5" s="151" t="n"/>
    </row>
    <row r="6" ht="30" customHeight="1" s="276" thickBot="1"/>
    <row r="7" ht="24" customHeight="1" s="276" thickBot="1">
      <c r="B7" s="135" t="inlineStr">
        <is>
          <t>Valor contratado</t>
        </is>
      </c>
      <c r="C7" s="321">
        <f>VLOOKUP(C4,FAPEU!B3:D10,3,0)</f>
        <v/>
      </c>
      <c r="D7" s="322" t="n"/>
      <c r="E7" s="322" t="n"/>
      <c r="F7" s="323" t="n"/>
      <c r="G7" s="323" t="n"/>
      <c r="H7" s="323" t="n"/>
      <c r="K7" s="150" t="inlineStr">
        <is>
          <t>Análise mensal</t>
        </is>
      </c>
      <c r="L7" s="150" t="n"/>
      <c r="M7" s="324" t="n">
        <v>46419</v>
      </c>
      <c r="P7" s="151" t="n"/>
    </row>
    <row r="8" ht="15" customHeight="1" s="276">
      <c r="B8" s="121" t="n"/>
      <c r="C8" s="325" t="n"/>
      <c r="D8" s="323" t="n"/>
      <c r="E8" s="4" t="n"/>
      <c r="K8" s="149" t="n"/>
      <c r="L8" s="149" t="n"/>
      <c r="M8" s="149" t="n"/>
    </row>
    <row r="9" ht="15" customHeight="1" s="276">
      <c r="B9" s="127" t="inlineStr">
        <is>
          <t>Recebido  (Projeto)</t>
        </is>
      </c>
      <c r="C9" s="326">
        <f>VLOOKUP(C4,FAPEU!B3:E10,4,0)</f>
        <v/>
      </c>
      <c r="D9" s="327" t="n"/>
      <c r="E9" s="128">
        <f>C9/C7</f>
        <v/>
      </c>
      <c r="F9" s="118" t="n"/>
      <c r="K9" s="143" t="inlineStr">
        <is>
          <t>Recebimento</t>
        </is>
      </c>
      <c r="L9" s="144" t="n"/>
      <c r="M9" s="328">
        <f>VLOOKUP(C4,FAPEU!B3:R10,D31,0)</f>
        <v/>
      </c>
    </row>
    <row r="10" ht="15" customHeight="1" s="276">
      <c r="B10" s="124" t="inlineStr">
        <is>
          <t>Recebimento  - Fapeu</t>
        </is>
      </c>
      <c r="C10" s="329">
        <f>VLOOKUP(C4,'saldo fapeu'!A3:B9,2,0)</f>
        <v/>
      </c>
      <c r="D10" s="125" t="n"/>
      <c r="E10" s="126">
        <f>C10/C7</f>
        <v/>
      </c>
      <c r="K10" s="145" t="inlineStr">
        <is>
          <t>Despesas programadas</t>
        </is>
      </c>
      <c r="L10" s="146" t="n"/>
      <c r="M10" s="330">
        <f>VLOOKUP(C4,FAPEU!B15:R22,D31,0)</f>
        <v/>
      </c>
    </row>
    <row r="11" ht="15" customHeight="1" s="276">
      <c r="B11" s="4" t="n"/>
      <c r="C11" s="331" t="n"/>
      <c r="D11" s="122" t="n"/>
      <c r="E11" s="123" t="n"/>
      <c r="K11" s="145" t="inlineStr">
        <is>
          <t>Saldo projetado</t>
        </is>
      </c>
      <c r="L11" s="146" t="n"/>
      <c r="M11" s="147">
        <f>VLOOKUP(C4,FAPEU!B27:R34,Análise!D31,0)</f>
        <v/>
      </c>
    </row>
    <row r="12" ht="15" customHeight="1" s="276">
      <c r="B12" s="129" t="inlineStr">
        <is>
          <t>À receber (Projeto)</t>
        </is>
      </c>
      <c r="C12" s="332">
        <f>C7-C9</f>
        <v/>
      </c>
      <c r="D12" s="129" t="n"/>
      <c r="E12" s="130">
        <f>C12/C7</f>
        <v/>
      </c>
    </row>
    <row r="13" ht="15" customHeight="1" s="276">
      <c r="B13" s="124" t="inlineStr">
        <is>
          <t>À Receber FAPEU</t>
        </is>
      </c>
      <c r="C13" s="333">
        <f>C7-C10</f>
        <v/>
      </c>
      <c r="D13" s="124" t="n"/>
      <c r="E13" s="126">
        <f>C13/C7</f>
        <v/>
      </c>
      <c r="K13" s="136">
        <f>MATCH(K14,FAPEU!$B$2:$R$2,0)</f>
        <v/>
      </c>
      <c r="L13" s="136">
        <f>MATCH(L14,FAPEU!$B$2:$R$2,0)</f>
        <v/>
      </c>
      <c r="M13" s="136">
        <f>MATCH(M14,FAPEU!$B$2:$R$2,0)</f>
        <v/>
      </c>
      <c r="N13" s="136">
        <f>MATCH(N14,FAPEU!$B$2:$R$2,0)</f>
        <v/>
      </c>
      <c r="O13" s="136">
        <f>MATCH(O14,FAPEU!$B$2:$R$2,0)</f>
        <v/>
      </c>
      <c r="P13" s="136">
        <f>MATCH(P14,FAPEU!$B$2:$R$2,0)</f>
        <v/>
      </c>
      <c r="Q13" s="136">
        <f>MATCH(Q14,FAPEU!$B$2:$R$2,0)</f>
        <v/>
      </c>
      <c r="R13" s="136">
        <f>MATCH(R14,FAPEU!$B$2:$R$2,0)</f>
        <v/>
      </c>
      <c r="S13" s="136">
        <f>MATCH(S14,FAPEU!$B$2:$R$2,0)</f>
        <v/>
      </c>
      <c r="T13" s="136">
        <f>MATCH(T14,FAPEU!$B$2:$R$2,0)</f>
        <v/>
      </c>
      <c r="U13" s="136">
        <f>MATCH(U14,FAPEU!$B$2:$R$2,0)</f>
        <v/>
      </c>
      <c r="V13" s="136">
        <f>MATCH(V14,FAPEU!$B$2:$R$2,0)</f>
        <v/>
      </c>
      <c r="W13" s="136">
        <f>MATCH(W14,FAPEU!$B$2:$R$2,0)</f>
        <v/>
      </c>
    </row>
    <row r="14" ht="15" customHeight="1" s="276">
      <c r="B14" s="131" t="n"/>
      <c r="C14" s="334" t="n"/>
      <c r="D14" s="131" t="n"/>
      <c r="E14" s="132" t="n"/>
      <c r="K14" s="335" t="n">
        <v>46174</v>
      </c>
      <c r="L14" s="335" t="n">
        <v>46204</v>
      </c>
      <c r="M14" s="335" t="n">
        <v>46235</v>
      </c>
      <c r="N14" s="335" t="n">
        <v>46266</v>
      </c>
      <c r="O14" s="335" t="n">
        <v>46296</v>
      </c>
      <c r="P14" s="335" t="n">
        <v>46327</v>
      </c>
      <c r="Q14" s="335" t="n">
        <v>46357</v>
      </c>
      <c r="R14" s="335" t="n">
        <v>46388</v>
      </c>
      <c r="S14" s="335" t="n">
        <v>46419</v>
      </c>
      <c r="T14" s="335" t="n">
        <v>46447</v>
      </c>
      <c r="U14" s="335" t="n">
        <v>46478</v>
      </c>
      <c r="V14" s="335" t="n">
        <v>46508</v>
      </c>
      <c r="W14" s="335" t="inlineStr">
        <is>
          <t>jun/27 a dez/28</t>
        </is>
      </c>
    </row>
    <row r="15" ht="15" customHeight="1" s="276">
      <c r="B15" s="129" t="inlineStr">
        <is>
          <t>Gastos realizados (Projeto)</t>
        </is>
      </c>
      <c r="C15" s="336">
        <f>VLOOKUP(C4,FAPEU!B15:E22,4,0)</f>
        <v/>
      </c>
      <c r="D15" s="129" t="n"/>
      <c r="E15" s="130">
        <f>C15/C7</f>
        <v/>
      </c>
      <c r="I15" s="141" t="inlineStr">
        <is>
          <t>Entradas</t>
        </is>
      </c>
      <c r="J15" s="142" t="n"/>
      <c r="K15" s="337">
        <f>VLOOKUP($C$4,FAPEU!$B$3:$R$10,K13,0)</f>
        <v/>
      </c>
      <c r="L15" s="337">
        <f>VLOOKUP($C$4,FAPEU!$B$3:$R$10,L13,0)</f>
        <v/>
      </c>
      <c r="M15" s="337">
        <f>VLOOKUP($C$4,FAPEU!$B$3:$R$10,M13,0)</f>
        <v/>
      </c>
      <c r="N15" s="337">
        <f>VLOOKUP($C$4,FAPEU!$B$3:$R$10,N13,0)</f>
        <v/>
      </c>
      <c r="O15" s="337">
        <f>VLOOKUP($C$4,FAPEU!$B$3:$R$10,O13,0)</f>
        <v/>
      </c>
      <c r="P15" s="337">
        <f>VLOOKUP($C$4,FAPEU!$B$3:$R$10,P13,0)</f>
        <v/>
      </c>
      <c r="Q15" s="337">
        <f>VLOOKUP($C$4,FAPEU!$B$3:$R$10,Q13,0)</f>
        <v/>
      </c>
      <c r="R15" s="337">
        <f>VLOOKUP($C$4,FAPEU!$B$3:$R$10,R13,0)</f>
        <v/>
      </c>
      <c r="S15" s="337">
        <f>VLOOKUP($C$4,FAPEU!$B$3:$R$10,S13,0)</f>
        <v/>
      </c>
      <c r="T15" s="337">
        <f>VLOOKUP($C$4,FAPEU!$B$3:$R$10,T13,0)</f>
        <v/>
      </c>
      <c r="U15" s="337">
        <f>VLOOKUP($C$4,FAPEU!$B$3:$R$10,U13,0)</f>
        <v/>
      </c>
      <c r="V15" s="337">
        <f>VLOOKUP($C$4,FAPEU!$B$3:$R$10,V13,0)</f>
        <v/>
      </c>
      <c r="W15" s="337">
        <f>VLOOKUP($C$4,FAPEU!$B$3:$R$10,W13,0)</f>
        <v/>
      </c>
    </row>
    <row r="16" ht="15" customHeight="1" s="276">
      <c r="B16" s="124" t="inlineStr">
        <is>
          <t>Gastos Realizado - Fapeu</t>
        </is>
      </c>
      <c r="C16" s="329">
        <f>VLOOKUP(C4,'saldo fapeu'!A3:C9,3,0)</f>
        <v/>
      </c>
      <c r="D16" s="338" t="n"/>
      <c r="E16" s="126">
        <f>C16/C7</f>
        <v/>
      </c>
      <c r="G16" s="339" t="n"/>
      <c r="H16" s="339" t="n"/>
      <c r="I16" s="137" t="inlineStr">
        <is>
          <t>Saídas</t>
        </is>
      </c>
      <c r="J16" s="138" t="n"/>
      <c r="K16" s="340">
        <f>VLOOKUP($C$4,FAPEU!$B$15:$R$22,K13,0)</f>
        <v/>
      </c>
      <c r="L16" s="340">
        <f>VLOOKUP($C$4,FAPEU!$B$15:$R$22,L13,0)</f>
        <v/>
      </c>
      <c r="M16" s="340">
        <f>VLOOKUP($C$4,FAPEU!$B$15:$R$22,M13,0)</f>
        <v/>
      </c>
      <c r="N16" s="340">
        <f>VLOOKUP($C$4,FAPEU!$B$15:$R$22,N13,0)</f>
        <v/>
      </c>
      <c r="O16" s="340">
        <f>VLOOKUP($C$4,FAPEU!$B$15:$R$22,O13,0)</f>
        <v/>
      </c>
      <c r="P16" s="340">
        <f>VLOOKUP($C$4,FAPEU!$B$15:$R$22,P13,0)</f>
        <v/>
      </c>
      <c r="Q16" s="340">
        <f>VLOOKUP($C$4,FAPEU!$B$15:$R$22,Q13,0)</f>
        <v/>
      </c>
      <c r="R16" s="340">
        <f>VLOOKUP($C$4,FAPEU!$B$15:$R$22,R13,0)</f>
        <v/>
      </c>
      <c r="S16" s="340">
        <f>VLOOKUP($C$4,FAPEU!$B$15:$R$22,S13,0)</f>
        <v/>
      </c>
      <c r="T16" s="340">
        <f>VLOOKUP($C$4,FAPEU!$B$15:$R$22,T13,0)</f>
        <v/>
      </c>
      <c r="U16" s="340">
        <f>VLOOKUP($C$4,FAPEU!$B$15:$R$22,U13,0)</f>
        <v/>
      </c>
      <c r="V16" s="340">
        <f>VLOOKUP($C$4,FAPEU!$B$15:$R$22,V13,0)</f>
        <v/>
      </c>
      <c r="W16" s="340">
        <f>VLOOKUP($C$4,FAPEU!$B$15:$R$22,W13,0)</f>
        <v/>
      </c>
    </row>
    <row r="17" ht="15" customHeight="1" s="276">
      <c r="B17" s="131" t="n"/>
      <c r="C17" s="334" t="n"/>
      <c r="D17" s="341" t="n"/>
      <c r="E17" s="132" t="n"/>
      <c r="G17" s="339" t="n"/>
      <c r="H17" s="339" t="n"/>
      <c r="I17" s="139" t="inlineStr">
        <is>
          <t>Saldo</t>
        </is>
      </c>
      <c r="J17" s="140" t="n"/>
      <c r="K17" s="342">
        <f>VLOOKUP($C$4,FAPEU!$B$27:$R$34,K13,0)</f>
        <v/>
      </c>
      <c r="L17" s="342">
        <f>VLOOKUP($C$4,FAPEU!$B$27:$R$34,L13,0)</f>
        <v/>
      </c>
      <c r="M17" s="342">
        <f>VLOOKUP($C$4,FAPEU!$B$27:$R$34,M13,0)</f>
        <v/>
      </c>
      <c r="N17" s="342">
        <f>VLOOKUP($C$4,FAPEU!$B$27:$R$34,N13,0)</f>
        <v/>
      </c>
      <c r="O17" s="342">
        <f>VLOOKUP($C$4,FAPEU!$B$27:$R$34,O13,0)</f>
        <v/>
      </c>
      <c r="P17" s="342">
        <f>VLOOKUP($C$4,FAPEU!$B$27:$R$34,P13,0)</f>
        <v/>
      </c>
      <c r="Q17" s="342">
        <f>VLOOKUP($C$4,FAPEU!$B$27:$R$34,Q13,0)</f>
        <v/>
      </c>
      <c r="R17" s="342">
        <f>VLOOKUP($C$4,FAPEU!$B$27:$R$34,R13,0)</f>
        <v/>
      </c>
      <c r="S17" s="342">
        <f>VLOOKUP($C$4,FAPEU!$B$27:$R$34,S13,0)</f>
        <v/>
      </c>
      <c r="T17" s="342">
        <f>VLOOKUP($C$4,FAPEU!$B$27:$R$34,T13,0)</f>
        <v/>
      </c>
      <c r="U17" s="342">
        <f>VLOOKUP($C$4,FAPEU!$B$27:$R$34,U13,0)</f>
        <v/>
      </c>
      <c r="V17" s="342">
        <f>VLOOKUP($C$4,FAPEU!$B$27:$R$34,V13,0)</f>
        <v/>
      </c>
      <c r="W17" s="342">
        <f>VLOOKUP($C$4,FAPEU!$B$27:$R$34,W13,0)</f>
        <v/>
      </c>
    </row>
    <row r="18" ht="15" customHeight="1" s="276">
      <c r="B18" s="129" t="inlineStr">
        <is>
          <t>Saldo financeiro projeto</t>
        </is>
      </c>
      <c r="C18" s="343">
        <f>C9-C15</f>
        <v/>
      </c>
      <c r="D18" s="129" t="n"/>
      <c r="E18" s="130">
        <f>C18/C7</f>
        <v/>
      </c>
    </row>
    <row r="19" ht="15" customHeight="1" s="276">
      <c r="B19" s="124" t="inlineStr">
        <is>
          <t>Saldo Financeiro Fapeu</t>
        </is>
      </c>
      <c r="C19" s="333">
        <f>C10-C16</f>
        <v/>
      </c>
      <c r="D19" s="344" t="n"/>
      <c r="E19" s="126">
        <f>C19/C7</f>
        <v/>
      </c>
    </row>
    <row r="20" ht="15" customHeight="1" s="276">
      <c r="B20" s="131" t="n"/>
      <c r="C20" s="334" t="n"/>
      <c r="D20" s="345" t="n"/>
      <c r="E20" s="131" t="n"/>
    </row>
    <row r="21" ht="15" customHeight="1" s="276">
      <c r="B21" s="129" t="inlineStr">
        <is>
          <t>Saldo Restante (Projeto)</t>
        </is>
      </c>
      <c r="C21" s="332">
        <f>C7-C15</f>
        <v/>
      </c>
      <c r="D21" s="129" t="n"/>
      <c r="E21" s="130">
        <f>C21/C7</f>
        <v/>
      </c>
    </row>
    <row r="22" ht="15" customHeight="1" s="276">
      <c r="B22" s="124" t="inlineStr">
        <is>
          <t>Saldo Restante Fapeu</t>
        </is>
      </c>
      <c r="C22" s="333">
        <f>C7-C16</f>
        <v/>
      </c>
      <c r="D22" s="133" t="n"/>
      <c r="E22" s="126">
        <f>C22/C7</f>
        <v/>
      </c>
    </row>
    <row r="23" ht="15" customHeight="1" s="276">
      <c r="B23" s="131" t="n"/>
      <c r="C23" s="334" t="n"/>
      <c r="D23" s="134" t="n"/>
      <c r="E23" s="132" t="n"/>
    </row>
    <row r="24" ht="15" customHeight="1" s="276">
      <c r="B24" s="129" t="inlineStr">
        <is>
          <t>Gastos programados (Projeto)</t>
        </is>
      </c>
      <c r="C24" s="336">
        <f>VLOOKUP(C4,FAPEU!B15:S22,18,0)</f>
        <v/>
      </c>
      <c r="D24" s="129" t="n"/>
      <c r="E24" s="130">
        <f>C24/C7</f>
        <v/>
      </c>
    </row>
    <row r="25" ht="15" customHeight="1" s="276">
      <c r="B25" s="131" t="n"/>
      <c r="C25" s="334" t="n"/>
      <c r="D25" s="341" t="n"/>
      <c r="E25" s="131" t="n"/>
    </row>
    <row r="26" ht="15" customHeight="1" s="276">
      <c r="B26" s="129" t="inlineStr">
        <is>
          <t>Resultado Previsto (Projeto)</t>
        </is>
      </c>
      <c r="C26" s="332">
        <f>C9+C12-C15-C24</f>
        <v/>
      </c>
      <c r="D26" s="129" t="n"/>
      <c r="E26" s="130">
        <f>C26/C7</f>
        <v/>
      </c>
    </row>
    <row r="27" ht="15" customHeight="1" s="276">
      <c r="B27" s="124" t="inlineStr">
        <is>
          <t>Resultado Previsto FAPEU</t>
        </is>
      </c>
      <c r="C27" s="333">
        <f>C10+C13-C16-C24</f>
        <v/>
      </c>
      <c r="D27" s="124" t="n"/>
      <c r="E27" s="126">
        <f>C27/C7</f>
        <v/>
      </c>
    </row>
    <row r="30">
      <c r="C30" s="151" t="n"/>
    </row>
    <row r="31">
      <c r="B31" s="151" t="inlineStr">
        <is>
          <t xml:space="preserve">    </t>
        </is>
      </c>
      <c r="D31" s="151">
        <f>MATCH(M7,FAPEU!B2:R2,0)</f>
        <v/>
      </c>
    </row>
    <row r="32">
      <c r="B32" s="151" t="n"/>
      <c r="F32" s="151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UrjWFJZQLBC+cFvWMiiLeQ==" formatRows="1" sort="1" spinCount="100000" hashValue="OVzMZsLH6X5IBnSK5jRtKQxWG0/HQi5O/gPw7sdI5CvjglizFssbhjcPtK1O1bzwNSM6y2lgKiwohjf6sRPBfA=="/>
  <mergeCells count="1">
    <mergeCell ref="B2:W2"/>
  </mergeCells>
  <pageMargins left="0.1181102362204725" right="0.1181102362204725" top="0.7874015748031497" bottom="0.7874015748031497" header="0.3149606299212598" footer="0.3149606299212598"/>
  <pageSetup orientation="landscape" paperSize="9" scale="5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X385"/>
  <sheetViews>
    <sheetView view="pageBreakPreview" zoomScaleNormal="100" zoomScaleSheetLayoutView="100" workbookViewId="0">
      <pane ySplit="1" topLeftCell="A30" activePane="bottomLeft" state="frozen"/>
      <selection pane="bottomLeft" activeCell="D56" sqref="D56"/>
    </sheetView>
    <sheetView workbookViewId="1">
      <selection activeCell="A1" sqref="A1"/>
    </sheetView>
  </sheetViews>
  <sheetFormatPr baseColWidth="8" defaultColWidth="11.42578125" defaultRowHeight="12"/>
  <cols>
    <col width="4.85546875" bestFit="1" customWidth="1" style="59" min="1" max="1"/>
    <col width="19" customWidth="1" style="47" min="2" max="2"/>
    <col width="7" customWidth="1" style="47" min="3" max="3"/>
    <col width="10.42578125" customWidth="1" style="47" min="4" max="4"/>
    <col width="10.140625" customWidth="1" style="47" min="5" max="125"/>
    <col width="10.7109375" customWidth="1" style="47" min="126" max="133"/>
    <col width="9.5703125" customWidth="1" style="47" min="134" max="134"/>
    <col width="9.85546875" customWidth="1" style="47" min="135" max="135"/>
    <col width="9.140625" customWidth="1" style="47" min="136" max="136"/>
    <col width="9" customWidth="1" style="47" min="137" max="137"/>
    <col width="9.7109375" customWidth="1" style="47" min="138" max="138"/>
    <col width="10.28515625" customWidth="1" style="47" min="139" max="139"/>
    <col width="9.85546875" bestFit="1" customWidth="1" style="47" min="140" max="140"/>
    <col width="9" customWidth="1" style="47" min="141" max="141"/>
    <col width="9.85546875" bestFit="1" customWidth="1" style="47" min="142" max="142"/>
    <col width="9" customWidth="1" style="47" min="143" max="145"/>
    <col width="9.85546875" bestFit="1" customWidth="1" style="47" min="146" max="147"/>
    <col width="9.85546875" customWidth="1" style="47" min="148" max="148"/>
    <col width="11.7109375" customWidth="1" style="47" min="149" max="149"/>
    <col width="10.7109375" customWidth="1" style="47" min="150" max="150"/>
    <col width="10.140625" customWidth="1" style="47" min="151" max="151"/>
    <col width="9" customWidth="1" style="47" min="152" max="153"/>
    <col width="10.42578125" customWidth="1" style="47" min="154" max="154"/>
    <col width="11.42578125" customWidth="1" style="47" min="155" max="156"/>
    <col width="11.42578125" customWidth="1" style="47" min="157" max="16384"/>
  </cols>
  <sheetData>
    <row r="1" ht="13.7" customHeight="1" s="276">
      <c r="A1" s="43" t="inlineStr">
        <is>
          <t>N˚</t>
        </is>
      </c>
      <c r="B1" s="44" t="inlineStr">
        <is>
          <t>Receita</t>
        </is>
      </c>
      <c r="C1" s="45" t="n"/>
      <c r="D1" s="46" t="inlineStr">
        <is>
          <t>Até mai/26</t>
        </is>
      </c>
      <c r="E1" s="46" t="n">
        <v>46174</v>
      </c>
      <c r="F1" s="46" t="n">
        <v>46204</v>
      </c>
      <c r="G1" s="46" t="n">
        <v>46235</v>
      </c>
      <c r="H1" s="46" t="n">
        <v>46266</v>
      </c>
      <c r="I1" s="46" t="n">
        <v>46296</v>
      </c>
      <c r="J1" s="46" t="n">
        <v>46327</v>
      </c>
      <c r="K1" s="46" t="n">
        <v>46357</v>
      </c>
      <c r="L1" s="46" t="n">
        <v>46388</v>
      </c>
      <c r="M1" s="46" t="n">
        <v>46419</v>
      </c>
      <c r="N1" s="46" t="n">
        <v>46447</v>
      </c>
      <c r="O1" s="46" t="n">
        <v>46478</v>
      </c>
      <c r="P1" s="46" t="n">
        <v>46508</v>
      </c>
      <c r="Q1" s="46" t="n">
        <v>46539</v>
      </c>
      <c r="R1" s="46" t="n">
        <v>46569</v>
      </c>
      <c r="S1" s="46" t="n">
        <v>46600</v>
      </c>
      <c r="T1" s="46" t="n">
        <v>46631</v>
      </c>
      <c r="U1" s="46" t="n">
        <v>46661</v>
      </c>
      <c r="V1" s="46" t="n">
        <v>46692</v>
      </c>
      <c r="W1" s="46" t="n">
        <v>46722</v>
      </c>
      <c r="X1" s="46" t="n">
        <v>46753</v>
      </c>
      <c r="Y1" s="46" t="n">
        <v>46784</v>
      </c>
      <c r="Z1" s="46" t="n">
        <v>46813</v>
      </c>
      <c r="AA1" s="46" t="n">
        <v>46844</v>
      </c>
      <c r="AB1" s="46" t="n">
        <v>46874</v>
      </c>
      <c r="AC1" s="46" t="n">
        <v>46905</v>
      </c>
      <c r="AD1" s="46" t="n">
        <v>46935</v>
      </c>
      <c r="AE1" s="46" t="n">
        <v>46966</v>
      </c>
      <c r="AF1" s="46" t="n">
        <v>46997</v>
      </c>
      <c r="AG1" s="46" t="n">
        <v>47027</v>
      </c>
      <c r="AH1" s="46" t="n">
        <v>47058</v>
      </c>
      <c r="AI1" s="46" t="n">
        <v>47088</v>
      </c>
      <c r="AJ1" s="46" t="inlineStr">
        <is>
          <t>Totais</t>
        </is>
      </c>
    </row>
    <row r="2" ht="13.7" customHeight="1" s="276">
      <c r="A2" s="48" t="n">
        <v>1</v>
      </c>
      <c r="B2" s="49" t="inlineStr">
        <is>
          <t>Parcelas</t>
        </is>
      </c>
      <c r="C2" s="50" t="n"/>
      <c r="D2" s="346">
        <f>E67</f>
        <v/>
      </c>
      <c r="E2" s="347" t="n">
        <v>3468930</v>
      </c>
      <c r="F2" s="347" t="n">
        <v>0</v>
      </c>
      <c r="G2" s="347" t="n">
        <v>3468930</v>
      </c>
      <c r="H2" s="347" t="n">
        <v>0</v>
      </c>
      <c r="I2" s="347" t="n">
        <v>0</v>
      </c>
      <c r="J2" s="347" t="n">
        <v>0</v>
      </c>
      <c r="K2" s="347" t="n">
        <v>3468930</v>
      </c>
      <c r="L2" s="347" t="n">
        <v>0</v>
      </c>
      <c r="M2" s="347" t="n">
        <v>0</v>
      </c>
      <c r="N2" s="347" t="n">
        <v>0</v>
      </c>
      <c r="O2" s="347" t="n">
        <v>3468930</v>
      </c>
      <c r="P2" s="347" t="n">
        <v>0</v>
      </c>
      <c r="Q2" s="347" t="n">
        <v>0</v>
      </c>
      <c r="R2" s="347" t="n">
        <v>0</v>
      </c>
      <c r="S2" s="347" t="n">
        <v>3468930</v>
      </c>
      <c r="T2" s="347" t="n">
        <v>0</v>
      </c>
      <c r="U2" s="347" t="n">
        <v>0</v>
      </c>
      <c r="V2" s="347" t="n">
        <v>0</v>
      </c>
      <c r="W2" s="347" t="n">
        <v>3468930</v>
      </c>
      <c r="X2" s="347" t="n">
        <v>0</v>
      </c>
      <c r="Y2" s="347" t="n">
        <v>0</v>
      </c>
      <c r="Z2" s="347" t="n">
        <v>0</v>
      </c>
      <c r="AA2" s="347" t="n">
        <v>2914837</v>
      </c>
      <c r="AB2" s="347" t="n">
        <v>0</v>
      </c>
      <c r="AC2" s="347" t="n">
        <v>0</v>
      </c>
      <c r="AD2" s="347" t="n">
        <v>0</v>
      </c>
      <c r="AE2" s="347" t="n">
        <v>2360744</v>
      </c>
      <c r="AF2" s="347" t="n">
        <v>0</v>
      </c>
      <c r="AG2" s="347" t="n">
        <v>0</v>
      </c>
      <c r="AH2" s="347" t="n">
        <v>0</v>
      </c>
      <c r="AI2" s="347" t="n">
        <v>0</v>
      </c>
      <c r="AJ2" s="348">
        <f>SUM(D2:AI2)</f>
        <v/>
      </c>
    </row>
    <row r="3" ht="13.7" customHeight="1" s="276">
      <c r="A3" s="51" t="inlineStr">
        <is>
          <t>N˚</t>
        </is>
      </c>
      <c r="B3" s="284" t="inlineStr">
        <is>
          <t>Despesas</t>
        </is>
      </c>
      <c r="C3" s="257" t="n"/>
      <c r="D3" s="255" t="n"/>
      <c r="E3" s="52">
        <f>E1</f>
        <v/>
      </c>
      <c r="F3" s="52">
        <f>F1</f>
        <v/>
      </c>
      <c r="G3" s="52">
        <f>G1</f>
        <v/>
      </c>
      <c r="H3" s="52">
        <f>H1</f>
        <v/>
      </c>
      <c r="I3" s="52">
        <f>I1</f>
        <v/>
      </c>
      <c r="J3" s="52">
        <f>J1</f>
        <v/>
      </c>
      <c r="K3" s="52">
        <f>K1</f>
        <v/>
      </c>
      <c r="L3" s="52">
        <f>L1</f>
        <v/>
      </c>
      <c r="M3" s="52">
        <f>M1</f>
        <v/>
      </c>
      <c r="N3" s="52">
        <f>N1</f>
        <v/>
      </c>
      <c r="O3" s="52">
        <f>O1</f>
        <v/>
      </c>
      <c r="P3" s="52">
        <f>P1</f>
        <v/>
      </c>
      <c r="Q3" s="52">
        <f>Q1</f>
        <v/>
      </c>
      <c r="R3" s="52">
        <f>R1</f>
        <v/>
      </c>
      <c r="S3" s="52">
        <f>S1</f>
        <v/>
      </c>
      <c r="T3" s="52">
        <f>T1</f>
        <v/>
      </c>
      <c r="U3" s="52">
        <f>U1</f>
        <v/>
      </c>
      <c r="V3" s="52">
        <f>V1</f>
        <v/>
      </c>
      <c r="W3" s="52">
        <f>W1</f>
        <v/>
      </c>
      <c r="X3" s="52">
        <f>X1</f>
        <v/>
      </c>
      <c r="Y3" s="52">
        <f>Y1</f>
        <v/>
      </c>
      <c r="Z3" s="52">
        <f>Z1</f>
        <v/>
      </c>
      <c r="AA3" s="52">
        <f>AA1</f>
        <v/>
      </c>
      <c r="AB3" s="52">
        <f>AB1</f>
        <v/>
      </c>
      <c r="AC3" s="52">
        <f>AC1</f>
        <v/>
      </c>
      <c r="AD3" s="52">
        <f>AD1</f>
        <v/>
      </c>
      <c r="AE3" s="52">
        <f>AE1</f>
        <v/>
      </c>
      <c r="AF3" s="52">
        <f>AF1</f>
        <v/>
      </c>
      <c r="AG3" s="52">
        <f>AG1</f>
        <v/>
      </c>
      <c r="AH3" s="52">
        <f>AH1</f>
        <v/>
      </c>
      <c r="AI3" s="52">
        <f>AI1</f>
        <v/>
      </c>
      <c r="AJ3" s="53" t="inlineStr">
        <is>
          <t>Totais</t>
        </is>
      </c>
    </row>
    <row r="4" ht="13.7" customFormat="1" customHeight="1" s="54">
      <c r="A4" s="48" t="n">
        <v>1</v>
      </c>
      <c r="B4" s="278" t="inlineStr">
        <is>
          <t>Alexandre Royes Schardosim</t>
        </is>
      </c>
      <c r="C4" s="257" t="n"/>
      <c r="D4" s="255" t="n"/>
      <c r="E4" s="349" t="n">
        <v>4174.4</v>
      </c>
      <c r="F4" s="349" t="n">
        <v>4174.4</v>
      </c>
      <c r="G4" s="349" t="n">
        <v>4174.4</v>
      </c>
      <c r="H4" s="349" t="n">
        <v>4174.4</v>
      </c>
      <c r="I4" s="349" t="n">
        <v>4174.4</v>
      </c>
      <c r="J4" s="349" t="n">
        <v>4174.4</v>
      </c>
      <c r="K4" s="349" t="n">
        <v>4174.4</v>
      </c>
      <c r="L4" s="349" t="n">
        <v>4174.4</v>
      </c>
      <c r="M4" s="349" t="n">
        <v>4174.4</v>
      </c>
      <c r="N4" s="349">
        <f>M4*1.05</f>
        <v/>
      </c>
      <c r="O4" s="349">
        <f>N4</f>
        <v/>
      </c>
      <c r="P4" s="349">
        <f>O4</f>
        <v/>
      </c>
      <c r="Q4" s="349">
        <f>P4</f>
        <v/>
      </c>
      <c r="R4" s="349">
        <f>Q4</f>
        <v/>
      </c>
      <c r="S4" s="349">
        <f>R4</f>
        <v/>
      </c>
      <c r="T4" s="349">
        <f>S4</f>
        <v/>
      </c>
      <c r="U4" s="349">
        <f>T4</f>
        <v/>
      </c>
      <c r="V4" s="349">
        <f>U4</f>
        <v/>
      </c>
      <c r="W4" s="349">
        <f>V4</f>
        <v/>
      </c>
      <c r="X4" s="349">
        <f>W4</f>
        <v/>
      </c>
      <c r="Y4" s="349">
        <f>X4</f>
        <v/>
      </c>
      <c r="Z4" s="349">
        <f>Y4*1.05</f>
        <v/>
      </c>
      <c r="AA4" s="349">
        <f>Z4</f>
        <v/>
      </c>
      <c r="AB4" s="349">
        <f>AA4</f>
        <v/>
      </c>
      <c r="AC4" s="349">
        <f>AB4</f>
        <v/>
      </c>
      <c r="AD4" s="349">
        <f>AC4</f>
        <v/>
      </c>
      <c r="AE4" s="349">
        <f>AD4</f>
        <v/>
      </c>
      <c r="AF4" s="349">
        <f>AE4</f>
        <v/>
      </c>
      <c r="AG4" s="349">
        <f>AF4</f>
        <v/>
      </c>
      <c r="AH4" s="349">
        <f>AG4</f>
        <v/>
      </c>
      <c r="AI4" s="349">
        <f>AH4</f>
        <v/>
      </c>
      <c r="AJ4" s="350">
        <f>SUM(E4:AI4)</f>
        <v/>
      </c>
    </row>
    <row r="5" ht="13.7" customFormat="1" customHeight="1" s="54">
      <c r="A5" s="48">
        <f>A4+1</f>
        <v/>
      </c>
      <c r="B5" s="278" t="inlineStr">
        <is>
          <t>André Luis Fernandes do Espirito Santo</t>
        </is>
      </c>
      <c r="C5" s="257" t="n"/>
      <c r="D5" s="255" t="n"/>
      <c r="E5" s="349" t="n">
        <v>3830.48</v>
      </c>
      <c r="F5" s="349" t="n">
        <v>3830.48</v>
      </c>
      <c r="G5" s="349" t="n">
        <v>3830.48</v>
      </c>
      <c r="H5" s="349" t="n">
        <v>3830.48</v>
      </c>
      <c r="I5" s="349" t="n">
        <v>3830.48</v>
      </c>
      <c r="J5" s="349" t="n">
        <v>3830.48</v>
      </c>
      <c r="K5" s="349" t="n">
        <v>3830.48</v>
      </c>
      <c r="L5" s="349" t="n">
        <v>3830.48</v>
      </c>
      <c r="M5" s="349" t="n">
        <v>3830.48</v>
      </c>
      <c r="N5" s="349">
        <f>M5*1.05</f>
        <v/>
      </c>
      <c r="O5" s="349">
        <f>N5</f>
        <v/>
      </c>
      <c r="P5" s="349">
        <f>O5</f>
        <v/>
      </c>
      <c r="Q5" s="349">
        <f>P5</f>
        <v/>
      </c>
      <c r="R5" s="349">
        <f>Q5</f>
        <v/>
      </c>
      <c r="S5" s="349">
        <f>R5</f>
        <v/>
      </c>
      <c r="T5" s="349">
        <f>S5</f>
        <v/>
      </c>
      <c r="U5" s="349">
        <f>T5</f>
        <v/>
      </c>
      <c r="V5" s="349">
        <f>U5</f>
        <v/>
      </c>
      <c r="W5" s="349">
        <f>V5</f>
        <v/>
      </c>
      <c r="X5" s="349">
        <f>W5</f>
        <v/>
      </c>
      <c r="Y5" s="349">
        <f>X5</f>
        <v/>
      </c>
      <c r="Z5" s="349">
        <f>Y5*1.05</f>
        <v/>
      </c>
      <c r="AA5" s="349">
        <f>Z5</f>
        <v/>
      </c>
      <c r="AB5" s="349">
        <f>AA5</f>
        <v/>
      </c>
      <c r="AC5" s="349">
        <f>AB5</f>
        <v/>
      </c>
      <c r="AD5" s="349">
        <f>AC5</f>
        <v/>
      </c>
      <c r="AE5" s="349">
        <f>AD5</f>
        <v/>
      </c>
      <c r="AF5" s="349">
        <f>AE5</f>
        <v/>
      </c>
      <c r="AG5" s="349">
        <f>AF5</f>
        <v/>
      </c>
      <c r="AH5" s="349">
        <f>AG5</f>
        <v/>
      </c>
      <c r="AI5" s="349">
        <f>AH5</f>
        <v/>
      </c>
      <c r="AJ5" s="350">
        <f>SUM(E5:AI5)</f>
        <v/>
      </c>
    </row>
    <row r="6" ht="13.7" customFormat="1" customHeight="1" s="54">
      <c r="A6" s="48">
        <f>A5+1</f>
        <v/>
      </c>
      <c r="B6" s="278" t="inlineStr">
        <is>
          <t>Bernardo Victor Engelke</t>
        </is>
      </c>
      <c r="C6" s="257" t="n"/>
      <c r="D6" s="255" t="n"/>
      <c r="E6" s="349">
        <f>9224.22+553.45</f>
        <v/>
      </c>
      <c r="F6" s="349">
        <f>9224.22+553.45</f>
        <v/>
      </c>
      <c r="G6" s="349">
        <f>9224.22+553.45</f>
        <v/>
      </c>
      <c r="H6" s="349">
        <f>9224.22+553.45</f>
        <v/>
      </c>
      <c r="I6" s="349">
        <f>9224.22+553.45</f>
        <v/>
      </c>
      <c r="J6" s="349">
        <f>9224.22+553.45</f>
        <v/>
      </c>
      <c r="K6" s="349">
        <f>9224.22+553.45</f>
        <v/>
      </c>
      <c r="L6" s="349">
        <f>9224.22+553.45</f>
        <v/>
      </c>
      <c r="M6" s="349">
        <f>9224.22+553.45</f>
        <v/>
      </c>
      <c r="N6" s="349">
        <f>M6*1.05</f>
        <v/>
      </c>
      <c r="O6" s="349">
        <f>N6</f>
        <v/>
      </c>
      <c r="P6" s="349">
        <f>O6</f>
        <v/>
      </c>
      <c r="Q6" s="349">
        <f>P6</f>
        <v/>
      </c>
      <c r="R6" s="349">
        <f>Q6</f>
        <v/>
      </c>
      <c r="S6" s="349">
        <f>R6</f>
        <v/>
      </c>
      <c r="T6" s="349">
        <f>S6</f>
        <v/>
      </c>
      <c r="U6" s="349">
        <f>T6</f>
        <v/>
      </c>
      <c r="V6" s="349">
        <f>U6</f>
        <v/>
      </c>
      <c r="W6" s="349">
        <f>V6</f>
        <v/>
      </c>
      <c r="X6" s="349">
        <f>W6</f>
        <v/>
      </c>
      <c r="Y6" s="349">
        <f>X6</f>
        <v/>
      </c>
      <c r="Z6" s="349">
        <f>Y6*1.05</f>
        <v/>
      </c>
      <c r="AA6" s="349">
        <f>Z6</f>
        <v/>
      </c>
      <c r="AB6" s="349">
        <f>AA6</f>
        <v/>
      </c>
      <c r="AC6" s="349">
        <f>AB6</f>
        <v/>
      </c>
      <c r="AD6" s="349">
        <f>AC6</f>
        <v/>
      </c>
      <c r="AE6" s="349">
        <f>AD6</f>
        <v/>
      </c>
      <c r="AF6" s="349">
        <f>AE6</f>
        <v/>
      </c>
      <c r="AG6" s="349">
        <f>AF6</f>
        <v/>
      </c>
      <c r="AH6" s="349">
        <f>AG6</f>
        <v/>
      </c>
      <c r="AI6" s="349">
        <f>AH6</f>
        <v/>
      </c>
      <c r="AJ6" s="350">
        <f>SUM(E6:AI6)</f>
        <v/>
      </c>
    </row>
    <row r="7" ht="13.7" customFormat="1" customHeight="1" s="54">
      <c r="A7" s="48">
        <f>A6+1</f>
        <v/>
      </c>
      <c r="B7" s="278" t="inlineStr">
        <is>
          <t>Caroline Bettini Frison</t>
        </is>
      </c>
      <c r="C7" s="257" t="n"/>
      <c r="D7" s="255" t="n"/>
      <c r="E7" s="349" t="n">
        <v>11709.19</v>
      </c>
      <c r="F7" s="349" t="n">
        <v>11709.19</v>
      </c>
      <c r="G7" s="349" t="n">
        <v>11709.19</v>
      </c>
      <c r="H7" s="349" t="n">
        <v>11709.19</v>
      </c>
      <c r="I7" s="349" t="n">
        <v>11709.19</v>
      </c>
      <c r="J7" s="349" t="n">
        <v>11709.19</v>
      </c>
      <c r="K7" s="349" t="n">
        <v>11709.19</v>
      </c>
      <c r="L7" s="349" t="n">
        <v>11709.19</v>
      </c>
      <c r="M7" s="349" t="n">
        <v>11709.19</v>
      </c>
      <c r="N7" s="349">
        <f>M7*1.05</f>
        <v/>
      </c>
      <c r="O7" s="349">
        <f>N7</f>
        <v/>
      </c>
      <c r="P7" s="349">
        <f>O7</f>
        <v/>
      </c>
      <c r="Q7" s="349">
        <f>P7</f>
        <v/>
      </c>
      <c r="R7" s="349">
        <f>Q7</f>
        <v/>
      </c>
      <c r="S7" s="349">
        <f>R7</f>
        <v/>
      </c>
      <c r="T7" s="349">
        <f>S7</f>
        <v/>
      </c>
      <c r="U7" s="349">
        <f>T7</f>
        <v/>
      </c>
      <c r="V7" s="349">
        <f>U7</f>
        <v/>
      </c>
      <c r="W7" s="349">
        <f>V7</f>
        <v/>
      </c>
      <c r="X7" s="349">
        <f>W7</f>
        <v/>
      </c>
      <c r="Y7" s="349">
        <f>X7</f>
        <v/>
      </c>
      <c r="Z7" s="349">
        <f>Y7*1.05</f>
        <v/>
      </c>
      <c r="AA7" s="349">
        <f>Z7</f>
        <v/>
      </c>
      <c r="AB7" s="349">
        <f>AA7</f>
        <v/>
      </c>
      <c r="AC7" s="349">
        <f>AB7</f>
        <v/>
      </c>
      <c r="AD7" s="349">
        <f>AC7</f>
        <v/>
      </c>
      <c r="AE7" s="349">
        <f>AD7</f>
        <v/>
      </c>
      <c r="AF7" s="349">
        <f>AE7</f>
        <v/>
      </c>
      <c r="AG7" s="349">
        <f>AF7</f>
        <v/>
      </c>
      <c r="AH7" s="349">
        <f>AG7</f>
        <v/>
      </c>
      <c r="AI7" s="349">
        <f>AH7</f>
        <v/>
      </c>
      <c r="AJ7" s="350">
        <f>SUM(E7:AI7)</f>
        <v/>
      </c>
    </row>
    <row r="8" ht="13.7" customFormat="1" customHeight="1" s="54">
      <c r="A8" s="48">
        <f>A7+1</f>
        <v/>
      </c>
      <c r="B8" s="278" t="inlineStr">
        <is>
          <t>César Augusto Pereira de Souza</t>
        </is>
      </c>
      <c r="C8" s="257" t="n"/>
      <c r="D8" s="255" t="n"/>
      <c r="E8" s="349" t="n">
        <v>4800</v>
      </c>
      <c r="F8" s="349" t="n">
        <v>4800</v>
      </c>
      <c r="G8" s="349" t="n">
        <v>4800</v>
      </c>
      <c r="H8" s="349" t="n">
        <v>4800</v>
      </c>
      <c r="I8" s="349" t="n">
        <v>4800</v>
      </c>
      <c r="J8" s="349" t="n">
        <v>4800</v>
      </c>
      <c r="K8" s="349" t="n">
        <v>4800</v>
      </c>
      <c r="L8" s="349" t="n">
        <v>4800</v>
      </c>
      <c r="M8" s="349" t="n">
        <v>4800</v>
      </c>
      <c r="N8" s="349">
        <f>M8*1.05</f>
        <v/>
      </c>
      <c r="O8" s="349">
        <f>N8</f>
        <v/>
      </c>
      <c r="P8" s="349">
        <f>O8</f>
        <v/>
      </c>
      <c r="Q8" s="349">
        <f>P8</f>
        <v/>
      </c>
      <c r="R8" s="349">
        <f>Q8</f>
        <v/>
      </c>
      <c r="S8" s="349">
        <f>R8</f>
        <v/>
      </c>
      <c r="T8" s="349">
        <f>S8</f>
        <v/>
      </c>
      <c r="U8" s="349">
        <f>T8</f>
        <v/>
      </c>
      <c r="V8" s="349">
        <f>U8</f>
        <v/>
      </c>
      <c r="W8" s="349">
        <f>V8</f>
        <v/>
      </c>
      <c r="X8" s="349">
        <f>W8</f>
        <v/>
      </c>
      <c r="Y8" s="349">
        <f>X8</f>
        <v/>
      </c>
      <c r="Z8" s="349">
        <f>Y8*1.05</f>
        <v/>
      </c>
      <c r="AA8" s="349">
        <f>Z8</f>
        <v/>
      </c>
      <c r="AB8" s="349">
        <f>AA8</f>
        <v/>
      </c>
      <c r="AC8" s="349">
        <f>AB8</f>
        <v/>
      </c>
      <c r="AD8" s="349">
        <f>AC8</f>
        <v/>
      </c>
      <c r="AE8" s="349">
        <f>AD8</f>
        <v/>
      </c>
      <c r="AF8" s="349">
        <f>AE8</f>
        <v/>
      </c>
      <c r="AG8" s="349">
        <f>AF8</f>
        <v/>
      </c>
      <c r="AH8" s="349">
        <f>AG8</f>
        <v/>
      </c>
      <c r="AI8" s="349">
        <f>AH8</f>
        <v/>
      </c>
      <c r="AJ8" s="350">
        <f>SUM(E8:AI8)</f>
        <v/>
      </c>
    </row>
    <row r="9" ht="13.7" customFormat="1" customHeight="1" s="54">
      <c r="A9" s="48">
        <f>A8+1</f>
        <v/>
      </c>
      <c r="B9" s="278" t="inlineStr">
        <is>
          <t>Gabriel da Costa Cardoso</t>
        </is>
      </c>
      <c r="C9" s="257" t="n"/>
      <c r="D9" s="255" t="n"/>
      <c r="E9" s="349" t="n">
        <v>3391.7</v>
      </c>
      <c r="F9" s="349" t="n">
        <v>3391.7</v>
      </c>
      <c r="G9" s="349" t="n">
        <v>3391.7</v>
      </c>
      <c r="H9" s="349" t="n">
        <v>3391.7</v>
      </c>
      <c r="I9" s="349" t="n">
        <v>3391.7</v>
      </c>
      <c r="J9" s="349" t="n">
        <v>3391.7</v>
      </c>
      <c r="K9" s="349" t="n">
        <v>3391.7</v>
      </c>
      <c r="L9" s="349" t="n">
        <v>3391.7</v>
      </c>
      <c r="M9" s="349" t="n">
        <v>3391.7</v>
      </c>
      <c r="N9" s="349">
        <f>M9*1.05</f>
        <v/>
      </c>
      <c r="O9" s="349">
        <f>N9</f>
        <v/>
      </c>
      <c r="P9" s="349">
        <f>O9</f>
        <v/>
      </c>
      <c r="Q9" s="349">
        <f>P9</f>
        <v/>
      </c>
      <c r="R9" s="349">
        <f>Q9</f>
        <v/>
      </c>
      <c r="S9" s="349">
        <f>R9</f>
        <v/>
      </c>
      <c r="T9" s="349">
        <f>S9</f>
        <v/>
      </c>
      <c r="U9" s="349">
        <f>T9</f>
        <v/>
      </c>
      <c r="V9" s="349">
        <f>U9</f>
        <v/>
      </c>
      <c r="W9" s="349">
        <f>V9</f>
        <v/>
      </c>
      <c r="X9" s="349">
        <f>W9</f>
        <v/>
      </c>
      <c r="Y9" s="349">
        <f>X9</f>
        <v/>
      </c>
      <c r="Z9" s="349">
        <f>Y9*1.05</f>
        <v/>
      </c>
      <c r="AA9" s="349">
        <f>Z9</f>
        <v/>
      </c>
      <c r="AB9" s="349">
        <f>AA9</f>
        <v/>
      </c>
      <c r="AC9" s="349">
        <f>AB9</f>
        <v/>
      </c>
      <c r="AD9" s="349">
        <f>AC9</f>
        <v/>
      </c>
      <c r="AE9" s="349">
        <f>AD9</f>
        <v/>
      </c>
      <c r="AF9" s="349">
        <f>AE9</f>
        <v/>
      </c>
      <c r="AG9" s="349">
        <f>AF9</f>
        <v/>
      </c>
      <c r="AH9" s="349">
        <f>AG9</f>
        <v/>
      </c>
      <c r="AI9" s="349">
        <f>AH9</f>
        <v/>
      </c>
      <c r="AJ9" s="350">
        <f>SUM(E9:AI9)</f>
        <v/>
      </c>
    </row>
    <row r="10" ht="13.7" customFormat="1" customHeight="1" s="54">
      <c r="A10" s="48">
        <f>A9+1</f>
        <v/>
      </c>
      <c r="B10" s="278" t="inlineStr">
        <is>
          <t>Guilherme Henrique Correia Sena</t>
        </is>
      </c>
      <c r="C10" s="257" t="n"/>
      <c r="D10" s="255" t="n"/>
      <c r="E10" s="349">
        <f>8400.25+252.01</f>
        <v/>
      </c>
      <c r="F10" s="349">
        <f>8400.25+252.01</f>
        <v/>
      </c>
      <c r="G10" s="349">
        <f>8400.25+252.01</f>
        <v/>
      </c>
      <c r="H10" s="349">
        <f>8400.25+252.01</f>
        <v/>
      </c>
      <c r="I10" s="349">
        <f>8400.25+252.01</f>
        <v/>
      </c>
      <c r="J10" s="349">
        <f>8400.25+252.01</f>
        <v/>
      </c>
      <c r="K10" s="349">
        <f>8400.25+252.01</f>
        <v/>
      </c>
      <c r="L10" s="349">
        <f>8400.25+252.01</f>
        <v/>
      </c>
      <c r="M10" s="349">
        <f>8400.25+252.01</f>
        <v/>
      </c>
      <c r="N10" s="349">
        <f>M10*1.05</f>
        <v/>
      </c>
      <c r="O10" s="349">
        <f>N10</f>
        <v/>
      </c>
      <c r="P10" s="349">
        <f>O10</f>
        <v/>
      </c>
      <c r="Q10" s="349">
        <f>P10</f>
        <v/>
      </c>
      <c r="R10" s="349">
        <f>Q10</f>
        <v/>
      </c>
      <c r="S10" s="349">
        <f>R10</f>
        <v/>
      </c>
      <c r="T10" s="349">
        <f>S10</f>
        <v/>
      </c>
      <c r="U10" s="349">
        <f>T10</f>
        <v/>
      </c>
      <c r="V10" s="349">
        <f>U10</f>
        <v/>
      </c>
      <c r="W10" s="349">
        <f>V10</f>
        <v/>
      </c>
      <c r="X10" s="349">
        <f>W10</f>
        <v/>
      </c>
      <c r="Y10" s="349">
        <f>X10</f>
        <v/>
      </c>
      <c r="Z10" s="349">
        <f>Y10*1.05</f>
        <v/>
      </c>
      <c r="AA10" s="349">
        <f>Z10</f>
        <v/>
      </c>
      <c r="AB10" s="349">
        <f>AA10</f>
        <v/>
      </c>
      <c r="AC10" s="349">
        <f>AB10</f>
        <v/>
      </c>
      <c r="AD10" s="349">
        <f>AC10</f>
        <v/>
      </c>
      <c r="AE10" s="349">
        <f>AD10</f>
        <v/>
      </c>
      <c r="AF10" s="349">
        <f>AE10</f>
        <v/>
      </c>
      <c r="AG10" s="349">
        <f>AF10</f>
        <v/>
      </c>
      <c r="AH10" s="349">
        <f>AG10</f>
        <v/>
      </c>
      <c r="AI10" s="349">
        <f>AH10</f>
        <v/>
      </c>
      <c r="AJ10" s="350">
        <f>SUM(E10:AI10)</f>
        <v/>
      </c>
    </row>
    <row r="11" ht="13.7" customFormat="1" customHeight="1" s="54">
      <c r="A11" s="48">
        <f>A10+1</f>
        <v/>
      </c>
      <c r="B11" s="278" t="inlineStr">
        <is>
          <t>Helena Spaniol</t>
        </is>
      </c>
      <c r="C11" s="257" t="n"/>
      <c r="D11" s="255" t="n"/>
      <c r="E11" s="349">
        <f>7705.43+462.33</f>
        <v/>
      </c>
      <c r="F11" s="349">
        <f>7705.43+462.33</f>
        <v/>
      </c>
      <c r="G11" s="349">
        <f>7705.43+462.33</f>
        <v/>
      </c>
      <c r="H11" s="349">
        <f>7705.43+462.33</f>
        <v/>
      </c>
      <c r="I11" s="349">
        <f>7705.43+462.33</f>
        <v/>
      </c>
      <c r="J11" s="349">
        <f>7705.43+462.33</f>
        <v/>
      </c>
      <c r="K11" s="349">
        <f>7705.43+462.33</f>
        <v/>
      </c>
      <c r="L11" s="349">
        <f>7705.43+462.33</f>
        <v/>
      </c>
      <c r="M11" s="349">
        <f>7705.43+462.33</f>
        <v/>
      </c>
      <c r="N11" s="349">
        <f>M11*1.05</f>
        <v/>
      </c>
      <c r="O11" s="349">
        <f>N11</f>
        <v/>
      </c>
      <c r="P11" s="349">
        <f>O11</f>
        <v/>
      </c>
      <c r="Q11" s="349">
        <f>P11</f>
        <v/>
      </c>
      <c r="R11" s="349">
        <f>Q11</f>
        <v/>
      </c>
      <c r="S11" s="349">
        <f>R11</f>
        <v/>
      </c>
      <c r="T11" s="349">
        <f>S11</f>
        <v/>
      </c>
      <c r="U11" s="349">
        <f>T11</f>
        <v/>
      </c>
      <c r="V11" s="349">
        <f>U11</f>
        <v/>
      </c>
      <c r="W11" s="349">
        <f>V11</f>
        <v/>
      </c>
      <c r="X11" s="349">
        <f>W11</f>
        <v/>
      </c>
      <c r="Y11" s="349">
        <f>X11</f>
        <v/>
      </c>
      <c r="Z11" s="349">
        <f>Y11*1.05</f>
        <v/>
      </c>
      <c r="AA11" s="349">
        <f>Z11</f>
        <v/>
      </c>
      <c r="AB11" s="349">
        <f>AA11</f>
        <v/>
      </c>
      <c r="AC11" s="349">
        <f>AB11</f>
        <v/>
      </c>
      <c r="AD11" s="349">
        <f>AC11</f>
        <v/>
      </c>
      <c r="AE11" s="349">
        <f>AD11</f>
        <v/>
      </c>
      <c r="AF11" s="349">
        <f>AE11</f>
        <v/>
      </c>
      <c r="AG11" s="349">
        <f>AF11</f>
        <v/>
      </c>
      <c r="AH11" s="349">
        <f>AG11</f>
        <v/>
      </c>
      <c r="AI11" s="349">
        <f>AH11</f>
        <v/>
      </c>
      <c r="AJ11" s="350">
        <f>SUM(E11:AI11)</f>
        <v/>
      </c>
    </row>
    <row r="12" ht="13.7" customFormat="1" customHeight="1" s="54">
      <c r="A12" s="48">
        <f>A11+1</f>
        <v/>
      </c>
      <c r="B12" s="278" t="inlineStr">
        <is>
          <t>João Vitor Ferreira Pedro</t>
        </is>
      </c>
      <c r="C12" s="257" t="n"/>
      <c r="D12" s="255" t="n"/>
      <c r="E12" s="349">
        <f>4377.69</f>
        <v/>
      </c>
      <c r="F12" s="349">
        <f>4377.69</f>
        <v/>
      </c>
      <c r="G12" s="349">
        <f>4377.69</f>
        <v/>
      </c>
      <c r="H12" s="349">
        <f>4377.69</f>
        <v/>
      </c>
      <c r="I12" s="349">
        <f>4377.69</f>
        <v/>
      </c>
      <c r="J12" s="349">
        <f>4377.69</f>
        <v/>
      </c>
      <c r="K12" s="349">
        <f>4377.69</f>
        <v/>
      </c>
      <c r="L12" s="349">
        <f>4377.69</f>
        <v/>
      </c>
      <c r="M12" s="349">
        <f>4377.69</f>
        <v/>
      </c>
      <c r="N12" s="349">
        <f>M12*1.05</f>
        <v/>
      </c>
      <c r="O12" s="349">
        <f>N12</f>
        <v/>
      </c>
      <c r="P12" s="349">
        <f>O12</f>
        <v/>
      </c>
      <c r="Q12" s="349">
        <f>P12</f>
        <v/>
      </c>
      <c r="R12" s="349">
        <f>Q12</f>
        <v/>
      </c>
      <c r="S12" s="349">
        <f>R12</f>
        <v/>
      </c>
      <c r="T12" s="349">
        <f>S12</f>
        <v/>
      </c>
      <c r="U12" s="349">
        <f>T12</f>
        <v/>
      </c>
      <c r="V12" s="349">
        <f>U12</f>
        <v/>
      </c>
      <c r="W12" s="349">
        <f>V12</f>
        <v/>
      </c>
      <c r="X12" s="349">
        <f>W12</f>
        <v/>
      </c>
      <c r="Y12" s="349">
        <f>X12</f>
        <v/>
      </c>
      <c r="Z12" s="349">
        <f>Y12*1.05</f>
        <v/>
      </c>
      <c r="AA12" s="349">
        <f>Z12</f>
        <v/>
      </c>
      <c r="AB12" s="349">
        <f>AA12</f>
        <v/>
      </c>
      <c r="AC12" s="349">
        <f>AB12</f>
        <v/>
      </c>
      <c r="AD12" s="349">
        <f>AC12</f>
        <v/>
      </c>
      <c r="AE12" s="349">
        <f>AD12</f>
        <v/>
      </c>
      <c r="AF12" s="349">
        <f>AE12</f>
        <v/>
      </c>
      <c r="AG12" s="349">
        <f>AF12</f>
        <v/>
      </c>
      <c r="AH12" s="349">
        <f>AG12</f>
        <v/>
      </c>
      <c r="AI12" s="349">
        <f>AH12</f>
        <v/>
      </c>
      <c r="AJ12" s="350">
        <f>SUM(E12:AI12)</f>
        <v/>
      </c>
    </row>
    <row r="13" ht="13.7" customFormat="1" customHeight="1" s="54">
      <c r="A13" s="48">
        <f>A12+1</f>
        <v/>
      </c>
      <c r="B13" s="278" t="inlineStr">
        <is>
          <t>Julia Bronzatti Jochims</t>
        </is>
      </c>
      <c r="C13" s="257" t="n"/>
      <c r="D13" s="255" t="n"/>
      <c r="E13" s="349" t="n">
        <v>6261.6</v>
      </c>
      <c r="F13" s="349" t="n">
        <v>6261.6</v>
      </c>
      <c r="G13" s="349" t="n">
        <v>6261.6</v>
      </c>
      <c r="H13" s="349" t="n">
        <v>6261.6</v>
      </c>
      <c r="I13" s="349" t="n">
        <v>6261.6</v>
      </c>
      <c r="J13" s="349" t="n">
        <v>6261.6</v>
      </c>
      <c r="K13" s="349" t="n">
        <v>6261.6</v>
      </c>
      <c r="L13" s="349" t="n">
        <v>6261.6</v>
      </c>
      <c r="M13" s="349" t="n">
        <v>6261.6</v>
      </c>
      <c r="N13" s="349">
        <f>M13*1.05</f>
        <v/>
      </c>
      <c r="O13" s="349">
        <f>N13</f>
        <v/>
      </c>
      <c r="P13" s="349">
        <f>O13</f>
        <v/>
      </c>
      <c r="Q13" s="349">
        <f>P13</f>
        <v/>
      </c>
      <c r="R13" s="349">
        <f>Q13</f>
        <v/>
      </c>
      <c r="S13" s="349">
        <f>R13</f>
        <v/>
      </c>
      <c r="T13" s="349">
        <f>S13</f>
        <v/>
      </c>
      <c r="U13" s="349">
        <f>T13</f>
        <v/>
      </c>
      <c r="V13" s="349">
        <f>U13</f>
        <v/>
      </c>
      <c r="W13" s="349">
        <f>V13</f>
        <v/>
      </c>
      <c r="X13" s="349">
        <f>W13</f>
        <v/>
      </c>
      <c r="Y13" s="349">
        <f>X13</f>
        <v/>
      </c>
      <c r="Z13" s="349">
        <f>Y13*1.05</f>
        <v/>
      </c>
      <c r="AA13" s="349">
        <f>Z13</f>
        <v/>
      </c>
      <c r="AB13" s="349">
        <f>AA13</f>
        <v/>
      </c>
      <c r="AC13" s="349">
        <f>AB13</f>
        <v/>
      </c>
      <c r="AD13" s="349">
        <f>AC13</f>
        <v/>
      </c>
      <c r="AE13" s="349">
        <f>AD13</f>
        <v/>
      </c>
      <c r="AF13" s="349">
        <f>AE13</f>
        <v/>
      </c>
      <c r="AG13" s="349">
        <f>AF13</f>
        <v/>
      </c>
      <c r="AH13" s="349">
        <f>AG13</f>
        <v/>
      </c>
      <c r="AI13" s="349">
        <f>AH13</f>
        <v/>
      </c>
      <c r="AJ13" s="350">
        <f>SUM(E13:AI13)</f>
        <v/>
      </c>
    </row>
    <row r="14" ht="13.7" customFormat="1" customHeight="1" s="54">
      <c r="A14" s="48">
        <f>A13+1</f>
        <v/>
      </c>
      <c r="B14" s="278" t="inlineStr">
        <is>
          <t>Julia Carmen Damiani Florentino</t>
        </is>
      </c>
      <c r="C14" s="257" t="n"/>
      <c r="D14" s="255" t="n"/>
      <c r="E14" s="349">
        <f>7046.3+422.78</f>
        <v/>
      </c>
      <c r="F14" s="349">
        <f>7046.3+422.78</f>
        <v/>
      </c>
      <c r="G14" s="349">
        <f>7046.3+422.78</f>
        <v/>
      </c>
      <c r="H14" s="349">
        <f>7046.3+422.78</f>
        <v/>
      </c>
      <c r="I14" s="349">
        <f>7046.3+422.78</f>
        <v/>
      </c>
      <c r="J14" s="349">
        <f>7046.3+422.78</f>
        <v/>
      </c>
      <c r="K14" s="349">
        <f>7046.3+422.78</f>
        <v/>
      </c>
      <c r="L14" s="349">
        <f>7046.3+422.78</f>
        <v/>
      </c>
      <c r="M14" s="349">
        <f>7046.3+422.78</f>
        <v/>
      </c>
      <c r="N14" s="349">
        <f>M14*1.05</f>
        <v/>
      </c>
      <c r="O14" s="349">
        <f>N14</f>
        <v/>
      </c>
      <c r="P14" s="349">
        <f>O14</f>
        <v/>
      </c>
      <c r="Q14" s="349">
        <f>P14</f>
        <v/>
      </c>
      <c r="R14" s="349">
        <f>Q14</f>
        <v/>
      </c>
      <c r="S14" s="349">
        <f>R14</f>
        <v/>
      </c>
      <c r="T14" s="349">
        <f>S14</f>
        <v/>
      </c>
      <c r="U14" s="349">
        <f>T14</f>
        <v/>
      </c>
      <c r="V14" s="349">
        <f>U14</f>
        <v/>
      </c>
      <c r="W14" s="349">
        <f>V14</f>
        <v/>
      </c>
      <c r="X14" s="349">
        <f>W14</f>
        <v/>
      </c>
      <c r="Y14" s="349">
        <f>X14</f>
        <v/>
      </c>
      <c r="Z14" s="349">
        <f>Y14*1.05</f>
        <v/>
      </c>
      <c r="AA14" s="349">
        <f>Z14</f>
        <v/>
      </c>
      <c r="AB14" s="349">
        <f>AA14</f>
        <v/>
      </c>
      <c r="AC14" s="349">
        <f>AB14</f>
        <v/>
      </c>
      <c r="AD14" s="349">
        <f>AC14</f>
        <v/>
      </c>
      <c r="AE14" s="349">
        <f>AD14</f>
        <v/>
      </c>
      <c r="AF14" s="349">
        <f>AE14</f>
        <v/>
      </c>
      <c r="AG14" s="349">
        <f>AF14</f>
        <v/>
      </c>
      <c r="AH14" s="349">
        <f>AG14</f>
        <v/>
      </c>
      <c r="AI14" s="349">
        <f>AH14</f>
        <v/>
      </c>
      <c r="AJ14" s="350">
        <f>SUM(E14:AI14)</f>
        <v/>
      </c>
    </row>
    <row r="15" ht="13.7" customFormat="1" customHeight="1" s="54">
      <c r="A15" s="48">
        <f>A14+1</f>
        <v/>
      </c>
      <c r="B15" s="278" t="inlineStr">
        <is>
          <t>Karine Domingos</t>
        </is>
      </c>
      <c r="C15" s="257" t="n"/>
      <c r="D15" s="255" t="n"/>
      <c r="E15" s="349">
        <f>6019.33</f>
        <v/>
      </c>
      <c r="F15" s="349">
        <f>6019.33</f>
        <v/>
      </c>
      <c r="G15" s="349">
        <f>6019.33</f>
        <v/>
      </c>
      <c r="H15" s="349">
        <f>6019.33</f>
        <v/>
      </c>
      <c r="I15" s="349">
        <f>6019.33</f>
        <v/>
      </c>
      <c r="J15" s="349">
        <f>6019.33</f>
        <v/>
      </c>
      <c r="K15" s="349">
        <f>6019.33</f>
        <v/>
      </c>
      <c r="L15" s="349">
        <f>6019.33</f>
        <v/>
      </c>
      <c r="M15" s="349">
        <f>6019.33</f>
        <v/>
      </c>
      <c r="N15" s="349">
        <f>M15*1.05</f>
        <v/>
      </c>
      <c r="O15" s="349">
        <f>N15</f>
        <v/>
      </c>
      <c r="P15" s="349">
        <f>O15</f>
        <v/>
      </c>
      <c r="Q15" s="349">
        <f>P15</f>
        <v/>
      </c>
      <c r="R15" s="349">
        <f>Q15</f>
        <v/>
      </c>
      <c r="S15" s="349">
        <f>R15</f>
        <v/>
      </c>
      <c r="T15" s="349">
        <f>S15</f>
        <v/>
      </c>
      <c r="U15" s="349">
        <f>T15</f>
        <v/>
      </c>
      <c r="V15" s="349">
        <f>U15</f>
        <v/>
      </c>
      <c r="W15" s="349">
        <f>V15</f>
        <v/>
      </c>
      <c r="X15" s="349">
        <f>W15</f>
        <v/>
      </c>
      <c r="Y15" s="349">
        <f>X15</f>
        <v/>
      </c>
      <c r="Z15" s="349">
        <f>Y15*1.05</f>
        <v/>
      </c>
      <c r="AA15" s="349">
        <f>Z15</f>
        <v/>
      </c>
      <c r="AB15" s="349">
        <f>AA15</f>
        <v/>
      </c>
      <c r="AC15" s="349">
        <f>AB15</f>
        <v/>
      </c>
      <c r="AD15" s="349">
        <f>AC15</f>
        <v/>
      </c>
      <c r="AE15" s="349">
        <f>AD15</f>
        <v/>
      </c>
      <c r="AF15" s="349">
        <f>AE15</f>
        <v/>
      </c>
      <c r="AG15" s="349">
        <f>AF15</f>
        <v/>
      </c>
      <c r="AH15" s="349">
        <f>AG15</f>
        <v/>
      </c>
      <c r="AI15" s="349">
        <f>AH15</f>
        <v/>
      </c>
      <c r="AJ15" s="350">
        <f>SUM(E15:AI15)</f>
        <v/>
      </c>
    </row>
    <row r="16" ht="13.7" customFormat="1" customHeight="1" s="54">
      <c r="A16" s="48">
        <f>A15+1</f>
        <v/>
      </c>
      <c r="B16" s="278" t="inlineStr">
        <is>
          <t>Leandro Quingerski</t>
        </is>
      </c>
      <c r="C16" s="257" t="n"/>
      <c r="D16" s="255" t="n"/>
      <c r="E16" s="349">
        <f>17446.25+1570.16</f>
        <v/>
      </c>
      <c r="F16" s="349">
        <f>17446.25+1570.16</f>
        <v/>
      </c>
      <c r="G16" s="349">
        <f>17446.25+1570.16</f>
        <v/>
      </c>
      <c r="H16" s="349">
        <f>17446.25+1570.16</f>
        <v/>
      </c>
      <c r="I16" s="349">
        <f>17446.25+1570.16</f>
        <v/>
      </c>
      <c r="J16" s="349">
        <f>17446.25+1570.16</f>
        <v/>
      </c>
      <c r="K16" s="349">
        <f>17446.25+1570.16</f>
        <v/>
      </c>
      <c r="L16" s="349">
        <f>17446.25+1570.16</f>
        <v/>
      </c>
      <c r="M16" s="349">
        <f>17446.25+1570.16</f>
        <v/>
      </c>
      <c r="N16" s="349">
        <f>M16*1.05</f>
        <v/>
      </c>
      <c r="O16" s="349">
        <f>N16</f>
        <v/>
      </c>
      <c r="P16" s="349">
        <f>O16</f>
        <v/>
      </c>
      <c r="Q16" s="349">
        <f>P16</f>
        <v/>
      </c>
      <c r="R16" s="349">
        <f>Q16</f>
        <v/>
      </c>
      <c r="S16" s="349">
        <f>R16</f>
        <v/>
      </c>
      <c r="T16" s="349">
        <f>S16</f>
        <v/>
      </c>
      <c r="U16" s="349">
        <f>T16</f>
        <v/>
      </c>
      <c r="V16" s="349">
        <f>U16</f>
        <v/>
      </c>
      <c r="W16" s="349">
        <f>V16</f>
        <v/>
      </c>
      <c r="X16" s="349">
        <f>W16</f>
        <v/>
      </c>
      <c r="Y16" s="349">
        <f>X16</f>
        <v/>
      </c>
      <c r="Z16" s="349">
        <f>Y16*1.05</f>
        <v/>
      </c>
      <c r="AA16" s="349">
        <f>Z16</f>
        <v/>
      </c>
      <c r="AB16" s="349">
        <f>AA16</f>
        <v/>
      </c>
      <c r="AC16" s="349">
        <f>AB16</f>
        <v/>
      </c>
      <c r="AD16" s="349">
        <f>AC16</f>
        <v/>
      </c>
      <c r="AE16" s="349">
        <f>AD16</f>
        <v/>
      </c>
      <c r="AF16" s="349">
        <f>AE16</f>
        <v/>
      </c>
      <c r="AG16" s="349">
        <f>AF16</f>
        <v/>
      </c>
      <c r="AH16" s="349">
        <f>AG16</f>
        <v/>
      </c>
      <c r="AI16" s="349">
        <f>AH16</f>
        <v/>
      </c>
      <c r="AJ16" s="350">
        <f>SUM(E16:AI16)</f>
        <v/>
      </c>
    </row>
    <row r="17" ht="13.7" customFormat="1" customHeight="1" s="54">
      <c r="A17" s="48">
        <f>A16+1</f>
        <v/>
      </c>
      <c r="B17" s="278" t="inlineStr">
        <is>
          <t>Lucas Oliveira Pereira da Silva</t>
        </is>
      </c>
      <c r="C17" s="257" t="n"/>
      <c r="D17" s="255" t="n"/>
      <c r="E17" s="349" t="n">
        <v>5472.12</v>
      </c>
      <c r="F17" s="349" t="n">
        <v>5472.12</v>
      </c>
      <c r="G17" s="349" t="n">
        <v>5472.12</v>
      </c>
      <c r="H17" s="349" t="n">
        <v>5472.12</v>
      </c>
      <c r="I17" s="349" t="n">
        <v>5472.12</v>
      </c>
      <c r="J17" s="349" t="n">
        <v>5472.12</v>
      </c>
      <c r="K17" s="349" t="n">
        <v>5472.12</v>
      </c>
      <c r="L17" s="349" t="n">
        <v>5472.12</v>
      </c>
      <c r="M17" s="349" t="n">
        <v>5472.12</v>
      </c>
      <c r="N17" s="349">
        <f>M17*1.05</f>
        <v/>
      </c>
      <c r="O17" s="349">
        <f>N17</f>
        <v/>
      </c>
      <c r="P17" s="349">
        <f>O17</f>
        <v/>
      </c>
      <c r="Q17" s="349">
        <f>P17</f>
        <v/>
      </c>
      <c r="R17" s="349">
        <f>Q17</f>
        <v/>
      </c>
      <c r="S17" s="349">
        <f>R17</f>
        <v/>
      </c>
      <c r="T17" s="349">
        <f>S17</f>
        <v/>
      </c>
      <c r="U17" s="349">
        <f>T17</f>
        <v/>
      </c>
      <c r="V17" s="349">
        <f>U17</f>
        <v/>
      </c>
      <c r="W17" s="349">
        <f>V17</f>
        <v/>
      </c>
      <c r="X17" s="349">
        <f>W17</f>
        <v/>
      </c>
      <c r="Y17" s="349">
        <f>X17</f>
        <v/>
      </c>
      <c r="Z17" s="349">
        <f>Y17*1.05</f>
        <v/>
      </c>
      <c r="AA17" s="349">
        <f>Z17</f>
        <v/>
      </c>
      <c r="AB17" s="349">
        <f>AA17</f>
        <v/>
      </c>
      <c r="AC17" s="349">
        <f>AB17</f>
        <v/>
      </c>
      <c r="AD17" s="349">
        <f>AC17</f>
        <v/>
      </c>
      <c r="AE17" s="349">
        <f>AD17</f>
        <v/>
      </c>
      <c r="AF17" s="349">
        <f>AE17</f>
        <v/>
      </c>
      <c r="AG17" s="349">
        <f>AF17</f>
        <v/>
      </c>
      <c r="AH17" s="349">
        <f>AG17</f>
        <v/>
      </c>
      <c r="AI17" s="349">
        <f>AH17</f>
        <v/>
      </c>
      <c r="AJ17" s="350">
        <f>SUM(E17:AI17)</f>
        <v/>
      </c>
    </row>
    <row r="18" ht="13.7" customFormat="1" customHeight="1" s="54">
      <c r="A18" s="48">
        <f>A17+1</f>
        <v/>
      </c>
      <c r="B18" s="278" t="inlineStr">
        <is>
          <t>Luciano Vecchi Biolo</t>
        </is>
      </c>
      <c r="C18" s="257" t="n"/>
      <c r="D18" s="255" t="n"/>
      <c r="E18" s="349" t="n">
        <v>5894.25</v>
      </c>
      <c r="F18" s="349" t="n">
        <v>5894.25</v>
      </c>
      <c r="G18" s="349" t="n">
        <v>5894.25</v>
      </c>
      <c r="H18" s="349" t="n">
        <v>5894.25</v>
      </c>
      <c r="I18" s="349" t="n">
        <v>5894.25</v>
      </c>
      <c r="J18" s="349" t="n">
        <v>5894.25</v>
      </c>
      <c r="K18" s="349" t="n">
        <v>5894.25</v>
      </c>
      <c r="L18" s="349" t="n">
        <v>5894.25</v>
      </c>
      <c r="M18" s="349" t="n">
        <v>5894.25</v>
      </c>
      <c r="N18" s="349">
        <f>M18*1.05</f>
        <v/>
      </c>
      <c r="O18" s="349">
        <f>N18</f>
        <v/>
      </c>
      <c r="P18" s="349">
        <f>O18</f>
        <v/>
      </c>
      <c r="Q18" s="349">
        <f>P18</f>
        <v/>
      </c>
      <c r="R18" s="349">
        <f>Q18</f>
        <v/>
      </c>
      <c r="S18" s="349">
        <f>R18</f>
        <v/>
      </c>
      <c r="T18" s="349">
        <f>S18</f>
        <v/>
      </c>
      <c r="U18" s="349">
        <f>T18</f>
        <v/>
      </c>
      <c r="V18" s="349">
        <f>U18</f>
        <v/>
      </c>
      <c r="W18" s="349">
        <f>V18</f>
        <v/>
      </c>
      <c r="X18" s="349">
        <f>W18</f>
        <v/>
      </c>
      <c r="Y18" s="349">
        <f>X18</f>
        <v/>
      </c>
      <c r="Z18" s="349">
        <f>Y18*1.05</f>
        <v/>
      </c>
      <c r="AA18" s="349">
        <f>Z18</f>
        <v/>
      </c>
      <c r="AB18" s="349">
        <f>AA18</f>
        <v/>
      </c>
      <c r="AC18" s="349">
        <f>AB18</f>
        <v/>
      </c>
      <c r="AD18" s="349">
        <f>AC18</f>
        <v/>
      </c>
      <c r="AE18" s="349">
        <f>AD18</f>
        <v/>
      </c>
      <c r="AF18" s="349">
        <f>AE18</f>
        <v/>
      </c>
      <c r="AG18" s="349">
        <f>AF18</f>
        <v/>
      </c>
      <c r="AH18" s="349">
        <f>AG18</f>
        <v/>
      </c>
      <c r="AI18" s="349">
        <f>AH18</f>
        <v/>
      </c>
      <c r="AJ18" s="350">
        <f>SUM(E18:AI18)</f>
        <v/>
      </c>
    </row>
    <row r="19" ht="13.7" customFormat="1" customHeight="1" s="54">
      <c r="A19" s="48">
        <f>A18+1</f>
        <v/>
      </c>
      <c r="B19" s="278" t="inlineStr">
        <is>
          <t>Luisandro Nachtigal Bandeira</t>
        </is>
      </c>
      <c r="C19" s="257" t="n"/>
      <c r="D19" s="255" t="n"/>
      <c r="E19" s="349">
        <f>13341.57+1200.74</f>
        <v/>
      </c>
      <c r="F19" s="349">
        <f>13341.57+1200.74</f>
        <v/>
      </c>
      <c r="G19" s="349">
        <f>13341.57+1200.74</f>
        <v/>
      </c>
      <c r="H19" s="349">
        <f>13341.57+1200.74</f>
        <v/>
      </c>
      <c r="I19" s="349">
        <f>13341.57+1200.74</f>
        <v/>
      </c>
      <c r="J19" s="349">
        <f>13341.57+1200.74</f>
        <v/>
      </c>
      <c r="K19" s="349">
        <f>13341.57+1200.74</f>
        <v/>
      </c>
      <c r="L19" s="349">
        <f>13341.57+1200.74</f>
        <v/>
      </c>
      <c r="M19" s="349">
        <f>13341.57+1200.74</f>
        <v/>
      </c>
      <c r="N19" s="349">
        <f>M19*1.05</f>
        <v/>
      </c>
      <c r="O19" s="349">
        <f>N19</f>
        <v/>
      </c>
      <c r="P19" s="349">
        <f>O19</f>
        <v/>
      </c>
      <c r="Q19" s="349">
        <f>P19</f>
        <v/>
      </c>
      <c r="R19" s="349">
        <f>Q19</f>
        <v/>
      </c>
      <c r="S19" s="349">
        <f>R19</f>
        <v/>
      </c>
      <c r="T19" s="349">
        <f>S19</f>
        <v/>
      </c>
      <c r="U19" s="349">
        <f>T19</f>
        <v/>
      </c>
      <c r="V19" s="349">
        <f>U19</f>
        <v/>
      </c>
      <c r="W19" s="349">
        <f>V19</f>
        <v/>
      </c>
      <c r="X19" s="349">
        <f>W19</f>
        <v/>
      </c>
      <c r="Y19" s="349">
        <f>X19</f>
        <v/>
      </c>
      <c r="Z19" s="349">
        <f>Y19*1.05</f>
        <v/>
      </c>
      <c r="AA19" s="349">
        <f>Z19</f>
        <v/>
      </c>
      <c r="AB19" s="349">
        <f>AA19</f>
        <v/>
      </c>
      <c r="AC19" s="349">
        <f>AB19</f>
        <v/>
      </c>
      <c r="AD19" s="349">
        <f>AC19</f>
        <v/>
      </c>
      <c r="AE19" s="349">
        <f>AD19</f>
        <v/>
      </c>
      <c r="AF19" s="349">
        <f>AE19</f>
        <v/>
      </c>
      <c r="AG19" s="349">
        <f>AF19</f>
        <v/>
      </c>
      <c r="AH19" s="349">
        <f>AG19</f>
        <v/>
      </c>
      <c r="AI19" s="349">
        <f>AH19</f>
        <v/>
      </c>
      <c r="AJ19" s="350">
        <f>SUM(E19:AI19)</f>
        <v/>
      </c>
    </row>
    <row r="20" ht="13.7" customFormat="1" customHeight="1" s="54">
      <c r="A20" s="48">
        <f>A19+1</f>
        <v/>
      </c>
      <c r="B20" s="278" t="inlineStr">
        <is>
          <t>Patricia Royes Schardosin</t>
        </is>
      </c>
      <c r="C20" s="257" t="n"/>
      <c r="D20" s="255" t="n"/>
      <c r="E20" s="349">
        <f>6015.01+541.35</f>
        <v/>
      </c>
      <c r="F20" s="349">
        <f>6015.01+541.35</f>
        <v/>
      </c>
      <c r="G20" s="349">
        <f>6015.01+541.35</f>
        <v/>
      </c>
      <c r="H20" s="349">
        <f>6015.01+541.35</f>
        <v/>
      </c>
      <c r="I20" s="349">
        <f>6015.01+541.35</f>
        <v/>
      </c>
      <c r="J20" s="349">
        <f>6015.01+541.35</f>
        <v/>
      </c>
      <c r="K20" s="349">
        <f>6015.01+541.35</f>
        <v/>
      </c>
      <c r="L20" s="349">
        <f>6015.01+541.35</f>
        <v/>
      </c>
      <c r="M20" s="349">
        <f>6015.01+541.35</f>
        <v/>
      </c>
      <c r="N20" s="349">
        <f>M20*1.05</f>
        <v/>
      </c>
      <c r="O20" s="349">
        <f>N20</f>
        <v/>
      </c>
      <c r="P20" s="349">
        <f>O20</f>
        <v/>
      </c>
      <c r="Q20" s="349">
        <f>P20</f>
        <v/>
      </c>
      <c r="R20" s="349">
        <f>Q20</f>
        <v/>
      </c>
      <c r="S20" s="349">
        <f>R20</f>
        <v/>
      </c>
      <c r="T20" s="349">
        <f>S20</f>
        <v/>
      </c>
      <c r="U20" s="349">
        <f>T20</f>
        <v/>
      </c>
      <c r="V20" s="349">
        <f>U20</f>
        <v/>
      </c>
      <c r="W20" s="349">
        <f>V20</f>
        <v/>
      </c>
      <c r="X20" s="349">
        <f>W20</f>
        <v/>
      </c>
      <c r="Y20" s="349">
        <f>X20</f>
        <v/>
      </c>
      <c r="Z20" s="349">
        <f>Y20*1.05</f>
        <v/>
      </c>
      <c r="AA20" s="349">
        <f>Z20</f>
        <v/>
      </c>
      <c r="AB20" s="349">
        <f>AA20</f>
        <v/>
      </c>
      <c r="AC20" s="349">
        <f>AB20</f>
        <v/>
      </c>
      <c r="AD20" s="349">
        <f>AC20</f>
        <v/>
      </c>
      <c r="AE20" s="349">
        <f>AD20</f>
        <v/>
      </c>
      <c r="AF20" s="349">
        <f>AE20</f>
        <v/>
      </c>
      <c r="AG20" s="349">
        <f>AF20</f>
        <v/>
      </c>
      <c r="AH20" s="349">
        <f>AG20</f>
        <v/>
      </c>
      <c r="AI20" s="349">
        <f>AH20</f>
        <v/>
      </c>
      <c r="AJ20" s="350">
        <f>SUM(E20:AI20)</f>
        <v/>
      </c>
    </row>
    <row r="21" ht="13.7" customFormat="1" customHeight="1" s="54">
      <c r="A21" s="48">
        <f>A20+1</f>
        <v/>
      </c>
      <c r="B21" s="278" t="inlineStr">
        <is>
          <t>Paula Carolina Ribeiro</t>
        </is>
      </c>
      <c r="C21" s="257" t="n"/>
      <c r="D21" s="255" t="n"/>
      <c r="E21" s="349">
        <f>11430.05+685.8</f>
        <v/>
      </c>
      <c r="F21" s="349">
        <f>11430.05+685.8</f>
        <v/>
      </c>
      <c r="G21" s="349">
        <f>11430.05+685.8</f>
        <v/>
      </c>
      <c r="H21" s="349">
        <f>11430.05+685.8</f>
        <v/>
      </c>
      <c r="I21" s="349">
        <f>11430.05+685.8</f>
        <v/>
      </c>
      <c r="J21" s="349">
        <f>11430.05+685.8</f>
        <v/>
      </c>
      <c r="K21" s="349">
        <f>11430.05+685.8</f>
        <v/>
      </c>
      <c r="L21" s="349">
        <f>11430.05+685.8</f>
        <v/>
      </c>
      <c r="M21" s="349">
        <f>11430.05+685.8</f>
        <v/>
      </c>
      <c r="N21" s="349">
        <f>M21*1.05</f>
        <v/>
      </c>
      <c r="O21" s="349">
        <f>N21</f>
        <v/>
      </c>
      <c r="P21" s="349">
        <f>O21</f>
        <v/>
      </c>
      <c r="Q21" s="349">
        <f>P21</f>
        <v/>
      </c>
      <c r="R21" s="349">
        <f>Q21</f>
        <v/>
      </c>
      <c r="S21" s="349">
        <f>R21</f>
        <v/>
      </c>
      <c r="T21" s="349">
        <f>S21</f>
        <v/>
      </c>
      <c r="U21" s="349">
        <f>T21</f>
        <v/>
      </c>
      <c r="V21" s="349">
        <f>U21</f>
        <v/>
      </c>
      <c r="W21" s="349">
        <f>V21</f>
        <v/>
      </c>
      <c r="X21" s="349">
        <f>W21</f>
        <v/>
      </c>
      <c r="Y21" s="349">
        <f>X21</f>
        <v/>
      </c>
      <c r="Z21" s="349">
        <f>Y21*1.05</f>
        <v/>
      </c>
      <c r="AA21" s="349">
        <f>Z21</f>
        <v/>
      </c>
      <c r="AB21" s="349">
        <f>AA21</f>
        <v/>
      </c>
      <c r="AC21" s="349">
        <f>AB21</f>
        <v/>
      </c>
      <c r="AD21" s="349">
        <f>AC21</f>
        <v/>
      </c>
      <c r="AE21" s="349">
        <f>AD21</f>
        <v/>
      </c>
      <c r="AF21" s="349">
        <f>AE21</f>
        <v/>
      </c>
      <c r="AG21" s="349">
        <f>AF21</f>
        <v/>
      </c>
      <c r="AH21" s="349">
        <f>AG21</f>
        <v/>
      </c>
      <c r="AI21" s="349">
        <f>AH21</f>
        <v/>
      </c>
      <c r="AJ21" s="350">
        <f>SUM(E21:AI21)</f>
        <v/>
      </c>
    </row>
    <row r="22" ht="13.7" customFormat="1" customHeight="1" s="54">
      <c r="A22" s="48">
        <f>A21+1</f>
        <v/>
      </c>
      <c r="B22" s="278" t="inlineStr">
        <is>
          <t>Renan Ferreira Renzo</t>
        </is>
      </c>
      <c r="C22" s="257" t="n"/>
      <c r="D22" s="255" t="n"/>
      <c r="E22" s="349">
        <f>5472.12</f>
        <v/>
      </c>
      <c r="F22" s="349">
        <f>5472.12</f>
        <v/>
      </c>
      <c r="G22" s="349">
        <f>5472.12</f>
        <v/>
      </c>
      <c r="H22" s="349">
        <f>5472.12</f>
        <v/>
      </c>
      <c r="I22" s="349">
        <f>5472.12</f>
        <v/>
      </c>
      <c r="J22" s="349">
        <f>5472.12</f>
        <v/>
      </c>
      <c r="K22" s="349">
        <f>5472.12</f>
        <v/>
      </c>
      <c r="L22" s="349">
        <f>5472.12</f>
        <v/>
      </c>
      <c r="M22" s="349">
        <f>5472.12</f>
        <v/>
      </c>
      <c r="N22" s="349">
        <f>M22*1.05</f>
        <v/>
      </c>
      <c r="O22" s="349">
        <f>N22</f>
        <v/>
      </c>
      <c r="P22" s="349">
        <f>O22</f>
        <v/>
      </c>
      <c r="Q22" s="349">
        <f>P22</f>
        <v/>
      </c>
      <c r="R22" s="349">
        <f>Q22</f>
        <v/>
      </c>
      <c r="S22" s="349">
        <f>R22</f>
        <v/>
      </c>
      <c r="T22" s="349">
        <f>S22</f>
        <v/>
      </c>
      <c r="U22" s="349">
        <f>T22</f>
        <v/>
      </c>
      <c r="V22" s="349">
        <f>U22</f>
        <v/>
      </c>
      <c r="W22" s="349">
        <f>V22</f>
        <v/>
      </c>
      <c r="X22" s="349">
        <f>W22</f>
        <v/>
      </c>
      <c r="Y22" s="349">
        <f>X22</f>
        <v/>
      </c>
      <c r="Z22" s="349">
        <f>Y22*1.05</f>
        <v/>
      </c>
      <c r="AA22" s="349">
        <f>Z22</f>
        <v/>
      </c>
      <c r="AB22" s="349">
        <f>AA22</f>
        <v/>
      </c>
      <c r="AC22" s="349">
        <f>AB22</f>
        <v/>
      </c>
      <c r="AD22" s="349">
        <f>AC22</f>
        <v/>
      </c>
      <c r="AE22" s="349">
        <f>AD22</f>
        <v/>
      </c>
      <c r="AF22" s="349">
        <f>AE22</f>
        <v/>
      </c>
      <c r="AG22" s="349">
        <f>AF22</f>
        <v/>
      </c>
      <c r="AH22" s="349">
        <f>AG22</f>
        <v/>
      </c>
      <c r="AI22" s="349">
        <f>AH22</f>
        <v/>
      </c>
      <c r="AJ22" s="350">
        <f>SUM(E22:AI22)</f>
        <v/>
      </c>
    </row>
    <row r="23" ht="13.7" customFormat="1" customHeight="1" s="54">
      <c r="A23" s="48">
        <f>A22+1</f>
        <v/>
      </c>
      <c r="B23" s="278" t="inlineStr">
        <is>
          <t>Renata Bruckmann Gomes Machado</t>
        </is>
      </c>
      <c r="C23" s="257" t="n"/>
      <c r="D23" s="255" t="n"/>
      <c r="E23" s="349">
        <f>8903.28+267.1</f>
        <v/>
      </c>
      <c r="F23" s="349">
        <f>8903.28+267.1</f>
        <v/>
      </c>
      <c r="G23" s="349">
        <f>8903.28+267.1</f>
        <v/>
      </c>
      <c r="H23" s="349">
        <f>8903.28+267.1</f>
        <v/>
      </c>
      <c r="I23" s="349">
        <f>8903.28+267.1</f>
        <v/>
      </c>
      <c r="J23" s="349">
        <f>8903.28+267.1</f>
        <v/>
      </c>
      <c r="K23" s="349">
        <f>8903.28+267.1</f>
        <v/>
      </c>
      <c r="L23" s="349">
        <f>8903.28+267.1</f>
        <v/>
      </c>
      <c r="M23" s="349">
        <f>8903.28+267.1</f>
        <v/>
      </c>
      <c r="N23" s="349">
        <f>M23*1.05</f>
        <v/>
      </c>
      <c r="O23" s="349">
        <f>N23</f>
        <v/>
      </c>
      <c r="P23" s="349">
        <f>O23</f>
        <v/>
      </c>
      <c r="Q23" s="349">
        <f>P23</f>
        <v/>
      </c>
      <c r="R23" s="349">
        <f>Q23</f>
        <v/>
      </c>
      <c r="S23" s="349">
        <f>R23</f>
        <v/>
      </c>
      <c r="T23" s="349">
        <f>S23</f>
        <v/>
      </c>
      <c r="U23" s="349">
        <f>T23</f>
        <v/>
      </c>
      <c r="V23" s="349">
        <f>U23</f>
        <v/>
      </c>
      <c r="W23" s="349">
        <f>V23</f>
        <v/>
      </c>
      <c r="X23" s="349">
        <f>W23</f>
        <v/>
      </c>
      <c r="Y23" s="349">
        <f>X23</f>
        <v/>
      </c>
      <c r="Z23" s="349">
        <f>Y23*1.05</f>
        <v/>
      </c>
      <c r="AA23" s="349">
        <f>Z23</f>
        <v/>
      </c>
      <c r="AB23" s="349">
        <f>AA23</f>
        <v/>
      </c>
      <c r="AC23" s="349">
        <f>AB23</f>
        <v/>
      </c>
      <c r="AD23" s="349">
        <f>AC23</f>
        <v/>
      </c>
      <c r="AE23" s="349">
        <f>AD23</f>
        <v/>
      </c>
      <c r="AF23" s="349">
        <f>AE23</f>
        <v/>
      </c>
      <c r="AG23" s="349">
        <f>AF23</f>
        <v/>
      </c>
      <c r="AH23" s="349">
        <f>AG23</f>
        <v/>
      </c>
      <c r="AI23" s="349">
        <f>AH23</f>
        <v/>
      </c>
      <c r="AJ23" s="350">
        <f>SUM(E23:AI23)</f>
        <v/>
      </c>
    </row>
    <row r="24" ht="13.7" customFormat="1" customHeight="1" s="54">
      <c r="A24" s="48">
        <f>A23+1</f>
        <v/>
      </c>
      <c r="B24" s="278" t="inlineStr">
        <is>
          <t>Ricardo da Cunha Pereira</t>
        </is>
      </c>
      <c r="C24" s="257" t="n"/>
      <c r="D24" s="255" t="n"/>
      <c r="E24" s="349">
        <f>13778.5+413.36</f>
        <v/>
      </c>
      <c r="F24" s="349">
        <f>13778.5+413.36</f>
        <v/>
      </c>
      <c r="G24" s="349">
        <f>13778.5+413.36</f>
        <v/>
      </c>
      <c r="H24" s="349">
        <f>13778.5+413.36</f>
        <v/>
      </c>
      <c r="I24" s="349">
        <f>13778.5+413.36</f>
        <v/>
      </c>
      <c r="J24" s="349">
        <f>13778.5+413.36</f>
        <v/>
      </c>
      <c r="K24" s="349">
        <f>13778.5+413.36</f>
        <v/>
      </c>
      <c r="L24" s="349">
        <f>13778.5+413.36</f>
        <v/>
      </c>
      <c r="M24" s="349">
        <f>13778.5+413.36</f>
        <v/>
      </c>
      <c r="N24" s="349">
        <f>M24*1.05</f>
        <v/>
      </c>
      <c r="O24" s="349">
        <f>N24</f>
        <v/>
      </c>
      <c r="P24" s="349">
        <f>O24</f>
        <v/>
      </c>
      <c r="Q24" s="349">
        <f>P24</f>
        <v/>
      </c>
      <c r="R24" s="349">
        <f>Q24</f>
        <v/>
      </c>
      <c r="S24" s="349">
        <f>R24</f>
        <v/>
      </c>
      <c r="T24" s="349">
        <f>S24</f>
        <v/>
      </c>
      <c r="U24" s="349">
        <f>T24</f>
        <v/>
      </c>
      <c r="V24" s="349">
        <f>U24</f>
        <v/>
      </c>
      <c r="W24" s="349">
        <f>V24</f>
        <v/>
      </c>
      <c r="X24" s="349">
        <f>W24</f>
        <v/>
      </c>
      <c r="Y24" s="349">
        <f>X24</f>
        <v/>
      </c>
      <c r="Z24" s="349">
        <f>Y24*1.05</f>
        <v/>
      </c>
      <c r="AA24" s="349">
        <f>Z24</f>
        <v/>
      </c>
      <c r="AB24" s="349">
        <f>AA24</f>
        <v/>
      </c>
      <c r="AC24" s="349">
        <f>AB24</f>
        <v/>
      </c>
      <c r="AD24" s="349">
        <f>AC24</f>
        <v/>
      </c>
      <c r="AE24" s="349">
        <f>AD24</f>
        <v/>
      </c>
      <c r="AF24" s="349">
        <f>AE24</f>
        <v/>
      </c>
      <c r="AG24" s="349">
        <f>AF24</f>
        <v/>
      </c>
      <c r="AH24" s="349">
        <f>AG24</f>
        <v/>
      </c>
      <c r="AI24" s="349">
        <f>AH24</f>
        <v/>
      </c>
      <c r="AJ24" s="350">
        <f>SUM(E24:AI24)</f>
        <v/>
      </c>
    </row>
    <row r="25" ht="13.7" customFormat="1" customHeight="1" s="54">
      <c r="A25" s="48">
        <f>A24+1</f>
        <v/>
      </c>
      <c r="B25" s="278" t="inlineStr">
        <is>
          <t>Victor Lima Costa</t>
        </is>
      </c>
      <c r="C25" s="257" t="n"/>
      <c r="D25" s="255" t="n"/>
      <c r="E25" s="349" t="n">
        <v>7305.2</v>
      </c>
      <c r="F25" s="349" t="n">
        <v>7305.2</v>
      </c>
      <c r="G25" s="349" t="n">
        <v>7305.2</v>
      </c>
      <c r="H25" s="349" t="n">
        <v>7305.2</v>
      </c>
      <c r="I25" s="349" t="n">
        <v>7305.2</v>
      </c>
      <c r="J25" s="349" t="n">
        <v>7305.2</v>
      </c>
      <c r="K25" s="349" t="n">
        <v>7305.2</v>
      </c>
      <c r="L25" s="349" t="n">
        <v>7305.2</v>
      </c>
      <c r="M25" s="349" t="n">
        <v>7305.2</v>
      </c>
      <c r="N25" s="349">
        <f>M25*1.05</f>
        <v/>
      </c>
      <c r="O25" s="349">
        <f>N25</f>
        <v/>
      </c>
      <c r="P25" s="349">
        <f>O25</f>
        <v/>
      </c>
      <c r="Q25" s="349">
        <f>P25</f>
        <v/>
      </c>
      <c r="R25" s="349">
        <f>Q25</f>
        <v/>
      </c>
      <c r="S25" s="349">
        <f>R25</f>
        <v/>
      </c>
      <c r="T25" s="349">
        <f>S25</f>
        <v/>
      </c>
      <c r="U25" s="349">
        <f>T25</f>
        <v/>
      </c>
      <c r="V25" s="349">
        <f>U25</f>
        <v/>
      </c>
      <c r="W25" s="349">
        <f>V25</f>
        <v/>
      </c>
      <c r="X25" s="349">
        <f>W25</f>
        <v/>
      </c>
      <c r="Y25" s="349">
        <f>X25</f>
        <v/>
      </c>
      <c r="Z25" s="349">
        <f>Y25*1.05</f>
        <v/>
      </c>
      <c r="AA25" s="349">
        <f>Z25</f>
        <v/>
      </c>
      <c r="AB25" s="349">
        <f>AA25</f>
        <v/>
      </c>
      <c r="AC25" s="349">
        <f>AB25</f>
        <v/>
      </c>
      <c r="AD25" s="349">
        <f>AC25</f>
        <v/>
      </c>
      <c r="AE25" s="349">
        <f>AD25</f>
        <v/>
      </c>
      <c r="AF25" s="349">
        <f>AE25</f>
        <v/>
      </c>
      <c r="AG25" s="349">
        <f>AF25</f>
        <v/>
      </c>
      <c r="AH25" s="349">
        <f>AG25</f>
        <v/>
      </c>
      <c r="AI25" s="349">
        <f>AH25</f>
        <v/>
      </c>
      <c r="AJ25" s="350">
        <f>SUM(E25:AI25)</f>
        <v/>
      </c>
    </row>
    <row r="26" ht="13.7" customFormat="1" customHeight="1" s="54">
      <c r="A26" s="48">
        <f>A25+1</f>
        <v/>
      </c>
      <c r="B26" s="278" t="inlineStr">
        <is>
          <t>Vitor Motoaki Yabiku</t>
        </is>
      </c>
      <c r="C26" s="257" t="n"/>
      <c r="D26" s="255" t="n"/>
      <c r="E26" s="349">
        <f>11495.69+689.74</f>
        <v/>
      </c>
      <c r="F26" s="349">
        <f>11495.69+689.74</f>
        <v/>
      </c>
      <c r="G26" s="349">
        <f>11495.69+689.74</f>
        <v/>
      </c>
      <c r="H26" s="349">
        <f>11495.69+689.74</f>
        <v/>
      </c>
      <c r="I26" s="349">
        <f>11495.69+689.74</f>
        <v/>
      </c>
      <c r="J26" s="349">
        <f>11495.69+689.74</f>
        <v/>
      </c>
      <c r="K26" s="349">
        <f>11495.69+689.74</f>
        <v/>
      </c>
      <c r="L26" s="349">
        <f>11495.69+689.74</f>
        <v/>
      </c>
      <c r="M26" s="349">
        <f>11495.69+689.74</f>
        <v/>
      </c>
      <c r="N26" s="349">
        <f>M26*1.05</f>
        <v/>
      </c>
      <c r="O26" s="349">
        <f>N26</f>
        <v/>
      </c>
      <c r="P26" s="349">
        <f>O26</f>
        <v/>
      </c>
      <c r="Q26" s="349">
        <f>P26</f>
        <v/>
      </c>
      <c r="R26" s="349">
        <f>Q26</f>
        <v/>
      </c>
      <c r="S26" s="349">
        <f>R26</f>
        <v/>
      </c>
      <c r="T26" s="349">
        <f>S26</f>
        <v/>
      </c>
      <c r="U26" s="349">
        <f>T26</f>
        <v/>
      </c>
      <c r="V26" s="349">
        <f>U26</f>
        <v/>
      </c>
      <c r="W26" s="349">
        <f>V26</f>
        <v/>
      </c>
      <c r="X26" s="349">
        <f>W26</f>
        <v/>
      </c>
      <c r="Y26" s="349">
        <f>X26</f>
        <v/>
      </c>
      <c r="Z26" s="349">
        <f>Y26*1.05</f>
        <v/>
      </c>
      <c r="AA26" s="349">
        <f>Z26</f>
        <v/>
      </c>
      <c r="AB26" s="349">
        <f>AA26</f>
        <v/>
      </c>
      <c r="AC26" s="349">
        <f>AB26</f>
        <v/>
      </c>
      <c r="AD26" s="349">
        <f>AC26</f>
        <v/>
      </c>
      <c r="AE26" s="349">
        <f>AD26</f>
        <v/>
      </c>
      <c r="AF26" s="349">
        <f>AE26</f>
        <v/>
      </c>
      <c r="AG26" s="349">
        <f>AF26</f>
        <v/>
      </c>
      <c r="AH26" s="349">
        <f>AG26</f>
        <v/>
      </c>
      <c r="AI26" s="349">
        <f>AH26</f>
        <v/>
      </c>
      <c r="AJ26" s="350">
        <f>SUM(E26:AI26)</f>
        <v/>
      </c>
    </row>
    <row r="27" ht="13.7" customHeight="1" s="276">
      <c r="A27" s="48">
        <f>A26+1</f>
        <v/>
      </c>
      <c r="B27" s="254" t="inlineStr">
        <is>
          <t>Encargos Trabalhistas</t>
        </is>
      </c>
      <c r="C27" s="257" t="n"/>
      <c r="D27" s="255" t="n"/>
      <c r="E27" s="351">
        <f>(SUM(E4:E26)*0.8)</f>
        <v/>
      </c>
      <c r="F27" s="351">
        <f>(SUM(F4:F26)*0.8)</f>
        <v/>
      </c>
      <c r="G27" s="351">
        <f>(SUM(G4:G26)*0.8)</f>
        <v/>
      </c>
      <c r="H27" s="351">
        <f>(SUM(H4:H26)*0.8)</f>
        <v/>
      </c>
      <c r="I27" s="351">
        <f>(SUM(I4:I26)*0.8)</f>
        <v/>
      </c>
      <c r="J27" s="351">
        <f>(SUM(J4:J26)*0.8)</f>
        <v/>
      </c>
      <c r="K27" s="351">
        <f>(SUM(K4:K26)*0.8)</f>
        <v/>
      </c>
      <c r="L27" s="351">
        <f>(SUM(L4:L26)*0.8)</f>
        <v/>
      </c>
      <c r="M27" s="351">
        <f>(SUM(M4:M26)*0.8)</f>
        <v/>
      </c>
      <c r="N27" s="351">
        <f>(SUM(N4:N26)*0.8)</f>
        <v/>
      </c>
      <c r="O27" s="351">
        <f>(SUM(O4:O26)*0.8)</f>
        <v/>
      </c>
      <c r="P27" s="351">
        <f>(SUM(P4:P26)*0.8)</f>
        <v/>
      </c>
      <c r="Q27" s="351">
        <f>(SUM(Q4:Q26)*0.8)</f>
        <v/>
      </c>
      <c r="R27" s="351">
        <f>(SUM(R4:R26)*0.8)</f>
        <v/>
      </c>
      <c r="S27" s="351">
        <f>(SUM(S4:S26)*0.8)</f>
        <v/>
      </c>
      <c r="T27" s="351">
        <f>(SUM(T4:T26)*0.8)</f>
        <v/>
      </c>
      <c r="U27" s="351">
        <f>(SUM(U4:U26)*0.8)</f>
        <v/>
      </c>
      <c r="V27" s="351">
        <f>(SUM(V4:V26)*0.8)</f>
        <v/>
      </c>
      <c r="W27" s="351">
        <f>(SUM(W4:W26)*0.8)</f>
        <v/>
      </c>
      <c r="X27" s="351">
        <f>(SUM(X4:X26)*0.8)</f>
        <v/>
      </c>
      <c r="Y27" s="351">
        <f>(SUM(Y4:Y26)*0.8)</f>
        <v/>
      </c>
      <c r="Z27" s="351">
        <f>(SUM(Z4:Z26)*0.8)</f>
        <v/>
      </c>
      <c r="AA27" s="351">
        <f>(SUM(AA4:AA26)*0.8)</f>
        <v/>
      </c>
      <c r="AB27" s="351">
        <f>(SUM(AB4:AB26)*0.8)</f>
        <v/>
      </c>
      <c r="AC27" s="351">
        <f>(SUM(AC4:AC26)*0.8)</f>
        <v/>
      </c>
      <c r="AD27" s="351">
        <f>(SUM(AD4:AD26)*0.8)</f>
        <v/>
      </c>
      <c r="AE27" s="351">
        <f>(SUM(AE4:AE26)*0.8)</f>
        <v/>
      </c>
      <c r="AF27" s="351">
        <f>(SUM(AF4:AF26)*0.8)</f>
        <v/>
      </c>
      <c r="AG27" s="351">
        <f>(SUM(AG4:AG26)*0.8)</f>
        <v/>
      </c>
      <c r="AH27" s="351">
        <f>(SUM(AH4:AH26)*0.8)</f>
        <v/>
      </c>
      <c r="AI27" s="351">
        <f>(SUM(AI4:AI26)*0.8)</f>
        <v/>
      </c>
      <c r="AJ27" s="350">
        <f>SUM(E27:AI27)</f>
        <v/>
      </c>
      <c r="BK27" s="47" t="n">
        <v>5236091</v>
      </c>
      <c r="BL27" s="352">
        <f>AJ27-BK27</f>
        <v/>
      </c>
    </row>
    <row r="28" ht="13.7" customHeight="1" s="276">
      <c r="A28" s="48">
        <f>A27+1</f>
        <v/>
      </c>
      <c r="B28" s="277" t="inlineStr">
        <is>
          <t>Alana Piccoli de Mello Correa</t>
        </is>
      </c>
      <c r="C28" s="257" t="n"/>
      <c r="D28" s="255" t="n"/>
      <c r="E28" s="351" t="n">
        <v>1050</v>
      </c>
      <c r="F28" s="351" t="n">
        <v>1050</v>
      </c>
      <c r="G28" s="351" t="n">
        <v>1050</v>
      </c>
      <c r="H28" s="351" t="n">
        <v>1050</v>
      </c>
      <c r="I28" s="351" t="n">
        <v>1050</v>
      </c>
      <c r="J28" s="351" t="n">
        <v>1050</v>
      </c>
      <c r="K28" s="351" t="n">
        <v>1050</v>
      </c>
      <c r="L28" s="351" t="n">
        <v>1050</v>
      </c>
      <c r="M28" s="351" t="n">
        <v>1050</v>
      </c>
      <c r="N28" s="351" t="n">
        <v>1050</v>
      </c>
      <c r="O28" s="351" t="n">
        <v>1050</v>
      </c>
      <c r="P28" s="351" t="n">
        <v>1050</v>
      </c>
      <c r="Q28" s="351" t="n">
        <v>1050</v>
      </c>
      <c r="R28" s="351" t="n">
        <v>1050</v>
      </c>
      <c r="S28" s="351" t="n">
        <v>1050</v>
      </c>
      <c r="T28" s="351" t="n">
        <v>1050</v>
      </c>
      <c r="U28" s="351" t="n">
        <v>1050</v>
      </c>
      <c r="V28" s="351" t="n">
        <v>1050</v>
      </c>
      <c r="W28" s="351" t="n">
        <v>1050</v>
      </c>
      <c r="X28" s="351" t="n">
        <v>1050</v>
      </c>
      <c r="Y28" s="351" t="n">
        <v>1050</v>
      </c>
      <c r="Z28" s="351" t="n">
        <v>1050</v>
      </c>
      <c r="AA28" s="351" t="n">
        <v>1050</v>
      </c>
      <c r="AB28" s="351" t="n"/>
      <c r="AC28" s="351" t="n"/>
      <c r="AD28" s="351" t="n"/>
      <c r="AE28" s="351" t="n"/>
      <c r="AF28" s="351" t="n"/>
      <c r="AG28" s="351" t="n"/>
      <c r="AH28" s="351" t="n"/>
      <c r="AI28" s="351" t="n"/>
      <c r="AJ28" s="350">
        <f>SUM(E28:AI28)</f>
        <v/>
      </c>
      <c r="BL28" s="352" t="n"/>
    </row>
    <row r="29" ht="13.7" customHeight="1" s="276">
      <c r="A29" s="48">
        <f>A28+1</f>
        <v/>
      </c>
      <c r="B29" s="277" t="inlineStr">
        <is>
          <t>Eduarda Vieira Florindo Tinoco</t>
        </is>
      </c>
      <c r="C29" s="257" t="n"/>
      <c r="D29" s="255" t="n"/>
      <c r="E29" s="351" t="n">
        <v>2200</v>
      </c>
      <c r="F29" s="351" t="n">
        <v>2200</v>
      </c>
      <c r="G29" s="351" t="n">
        <v>2200</v>
      </c>
      <c r="H29" s="351" t="n">
        <v>2200</v>
      </c>
      <c r="I29" s="351" t="n">
        <v>2200</v>
      </c>
      <c r="J29" s="351" t="n">
        <v>2200</v>
      </c>
      <c r="K29" s="351" t="n">
        <v>2200</v>
      </c>
      <c r="L29" s="351" t="n">
        <v>2200</v>
      </c>
      <c r="M29" s="351" t="n">
        <v>2200</v>
      </c>
      <c r="N29" s="351" t="n">
        <v>2200</v>
      </c>
      <c r="O29" s="351" t="n">
        <v>2200</v>
      </c>
      <c r="P29" s="351" t="n">
        <v>2200</v>
      </c>
      <c r="Q29" s="351" t="n">
        <v>2200</v>
      </c>
      <c r="R29" s="351" t="n">
        <v>2200</v>
      </c>
      <c r="S29" s="351" t="n">
        <v>2200</v>
      </c>
      <c r="T29" s="351" t="n">
        <v>2200</v>
      </c>
      <c r="U29" s="351" t="n">
        <v>2200</v>
      </c>
      <c r="V29" s="351" t="n">
        <v>2200</v>
      </c>
      <c r="W29" s="351" t="n">
        <v>2200</v>
      </c>
      <c r="X29" s="351" t="n">
        <v>2200</v>
      </c>
      <c r="Y29" s="351" t="n">
        <v>2200</v>
      </c>
      <c r="Z29" s="351" t="n">
        <v>2200</v>
      </c>
      <c r="AA29" s="351" t="n">
        <v>2200</v>
      </c>
      <c r="AB29" s="351" t="n">
        <v>2200</v>
      </c>
      <c r="AC29" s="351" t="n">
        <v>2200</v>
      </c>
      <c r="AD29" s="351" t="n">
        <v>2200</v>
      </c>
      <c r="AE29" s="351" t="n">
        <v>2200</v>
      </c>
      <c r="AF29" s="351" t="n">
        <v>2200</v>
      </c>
      <c r="AG29" s="351" t="n">
        <v>2200</v>
      </c>
      <c r="AH29" s="351" t="n">
        <v>2200</v>
      </c>
      <c r="AI29" s="351" t="n"/>
      <c r="AJ29" s="350">
        <f>SUM(E29:AI29)</f>
        <v/>
      </c>
      <c r="BL29" s="352" t="n"/>
    </row>
    <row r="30" ht="13.7" customHeight="1" s="276">
      <c r="A30" s="48">
        <f>A29+1</f>
        <v/>
      </c>
      <c r="B30" s="277" t="inlineStr">
        <is>
          <t>Eduardo Lobo</t>
        </is>
      </c>
      <c r="C30" s="257" t="n"/>
      <c r="D30" s="255" t="n"/>
      <c r="E30" s="351" t="n">
        <v>3000</v>
      </c>
      <c r="F30" s="351" t="n"/>
      <c r="G30" s="351" t="n"/>
      <c r="H30" s="351" t="n"/>
      <c r="I30" s="351" t="n"/>
      <c r="J30" s="351" t="n"/>
      <c r="K30" s="351" t="n"/>
      <c r="L30" s="351" t="n"/>
      <c r="M30" s="351" t="n"/>
      <c r="N30" s="351" t="n"/>
      <c r="O30" s="351" t="n"/>
      <c r="P30" s="351" t="n"/>
      <c r="Q30" s="351" t="n"/>
      <c r="R30" s="351" t="n"/>
      <c r="S30" s="351" t="n"/>
      <c r="T30" s="351" t="n"/>
      <c r="U30" s="351" t="n"/>
      <c r="V30" s="351" t="n"/>
      <c r="W30" s="351" t="n"/>
      <c r="X30" s="351" t="n"/>
      <c r="Y30" s="351" t="n"/>
      <c r="Z30" s="351" t="n"/>
      <c r="AA30" s="351" t="n"/>
      <c r="AB30" s="351" t="n"/>
      <c r="AC30" s="351" t="n"/>
      <c r="AD30" s="351" t="n"/>
      <c r="AE30" s="351" t="n"/>
      <c r="AF30" s="351" t="n"/>
      <c r="AG30" s="351" t="n"/>
      <c r="AH30" s="351" t="n"/>
      <c r="AI30" s="351" t="n"/>
      <c r="AJ30" s="350">
        <f>SUM(E30:AI30)</f>
        <v/>
      </c>
      <c r="BL30" s="352" t="n"/>
    </row>
    <row r="31" ht="13.7" customHeight="1" s="276">
      <c r="A31" s="48">
        <f>A30+1</f>
        <v/>
      </c>
      <c r="B31" s="277" t="inlineStr">
        <is>
          <t>Fernando Seabra</t>
        </is>
      </c>
      <c r="C31" s="257" t="n"/>
      <c r="D31" s="255" t="n"/>
      <c r="E31" s="351" t="n">
        <v>3000</v>
      </c>
      <c r="F31" s="351" t="n">
        <v>3000</v>
      </c>
      <c r="G31" s="351" t="n">
        <v>3000</v>
      </c>
      <c r="H31" s="351" t="n">
        <v>3000</v>
      </c>
      <c r="I31" s="351" t="n">
        <v>3000</v>
      </c>
      <c r="J31" s="351" t="n">
        <v>3000</v>
      </c>
      <c r="K31" s="351" t="n">
        <v>3000</v>
      </c>
      <c r="L31" s="351" t="n">
        <v>3000</v>
      </c>
      <c r="M31" s="351" t="n">
        <v>3000</v>
      </c>
      <c r="N31" s="351" t="n">
        <v>3000</v>
      </c>
      <c r="O31" s="351" t="n">
        <v>3000</v>
      </c>
      <c r="P31" s="351" t="n">
        <v>3000</v>
      </c>
      <c r="Q31" s="351" t="n">
        <v>3000</v>
      </c>
      <c r="R31" s="351" t="n">
        <v>3000</v>
      </c>
      <c r="S31" s="351" t="n">
        <v>3000</v>
      </c>
      <c r="T31" s="351" t="n">
        <v>3000</v>
      </c>
      <c r="U31" s="351" t="n">
        <v>3000</v>
      </c>
      <c r="V31" s="351" t="n">
        <v>3000</v>
      </c>
      <c r="W31" s="351" t="n">
        <v>3000</v>
      </c>
      <c r="X31" s="351" t="n">
        <v>3000</v>
      </c>
      <c r="Y31" s="351" t="n">
        <v>3000</v>
      </c>
      <c r="Z31" s="351" t="n">
        <v>3000</v>
      </c>
      <c r="AA31" s="351" t="n">
        <v>3000</v>
      </c>
      <c r="AB31" s="351" t="n"/>
      <c r="AC31" s="351" t="n"/>
      <c r="AD31" s="351" t="n"/>
      <c r="AE31" s="351" t="n"/>
      <c r="AF31" s="351" t="n"/>
      <c r="AG31" s="351" t="n"/>
      <c r="AH31" s="351" t="n"/>
      <c r="AI31" s="351" t="n"/>
      <c r="AJ31" s="350">
        <f>SUM(E31:AI31)</f>
        <v/>
      </c>
      <c r="BL31" s="352" t="n"/>
    </row>
    <row r="32" ht="13.7" customHeight="1" s="276">
      <c r="A32" s="48">
        <f>A31+1</f>
        <v/>
      </c>
      <c r="B32" s="277" t="inlineStr">
        <is>
          <t>Germano dos Reis Rivera</t>
        </is>
      </c>
      <c r="C32" s="257" t="n"/>
      <c r="D32" s="255" t="n"/>
      <c r="E32" s="351" t="n">
        <v>1050</v>
      </c>
      <c r="F32" s="351" t="n">
        <v>1050</v>
      </c>
      <c r="G32" s="351" t="n">
        <v>1050</v>
      </c>
      <c r="H32" s="351" t="n">
        <v>1050</v>
      </c>
      <c r="I32" s="351" t="n">
        <v>1050</v>
      </c>
      <c r="J32" s="351" t="n">
        <v>1050</v>
      </c>
      <c r="K32" s="351" t="n">
        <v>1050</v>
      </c>
      <c r="L32" s="351" t="n">
        <v>1050</v>
      </c>
      <c r="M32" s="351" t="n">
        <v>1050</v>
      </c>
      <c r="N32" s="351" t="n"/>
      <c r="O32" s="351" t="n"/>
      <c r="P32" s="351" t="n"/>
      <c r="Q32" s="351" t="n"/>
      <c r="R32" s="351" t="n"/>
      <c r="S32" s="351" t="n"/>
      <c r="T32" s="351" t="n"/>
      <c r="U32" s="351" t="n"/>
      <c r="V32" s="351" t="n"/>
      <c r="W32" s="351" t="n"/>
      <c r="X32" s="351" t="n"/>
      <c r="Y32" s="351" t="n"/>
      <c r="Z32" s="351" t="n"/>
      <c r="AA32" s="351" t="n"/>
      <c r="AB32" s="351" t="n"/>
      <c r="AC32" s="351" t="n"/>
      <c r="AD32" s="351" t="n"/>
      <c r="AE32" s="351" t="n"/>
      <c r="AF32" s="351" t="n"/>
      <c r="AG32" s="351" t="n"/>
      <c r="AH32" s="351" t="n"/>
      <c r="AI32" s="351" t="n"/>
      <c r="AJ32" s="350">
        <f>SUM(E32:AI32)</f>
        <v/>
      </c>
      <c r="BL32" s="352" t="n"/>
    </row>
    <row r="33" ht="13.7" customHeight="1" s="276">
      <c r="A33" s="48">
        <f>A32+1</f>
        <v/>
      </c>
      <c r="B33" s="277" t="inlineStr">
        <is>
          <t>Giulia Kaminski</t>
        </is>
      </c>
      <c r="C33" s="257" t="n"/>
      <c r="D33" s="255" t="n"/>
      <c r="E33" s="351" t="n">
        <v>1050</v>
      </c>
      <c r="F33" s="351" t="n">
        <v>1050</v>
      </c>
      <c r="G33" s="351" t="n">
        <v>1050</v>
      </c>
      <c r="H33" s="351" t="n">
        <v>1050</v>
      </c>
      <c r="I33" s="351" t="n">
        <v>1050</v>
      </c>
      <c r="J33" s="351" t="n">
        <v>1050</v>
      </c>
      <c r="K33" s="351" t="n">
        <v>1050</v>
      </c>
      <c r="L33" s="351" t="n">
        <v>1050</v>
      </c>
      <c r="M33" s="351" t="n">
        <v>1050</v>
      </c>
      <c r="N33" s="351" t="n"/>
      <c r="O33" s="351" t="n"/>
      <c r="P33" s="351" t="n"/>
      <c r="Q33" s="351" t="n"/>
      <c r="R33" s="351" t="n"/>
      <c r="S33" s="351" t="n"/>
      <c r="T33" s="351" t="n"/>
      <c r="U33" s="351" t="n"/>
      <c r="V33" s="351" t="n"/>
      <c r="W33" s="351" t="n"/>
      <c r="X33" s="351" t="n"/>
      <c r="Y33" s="351" t="n"/>
      <c r="Z33" s="351" t="n"/>
      <c r="AA33" s="351" t="n"/>
      <c r="AB33" s="351" t="n"/>
      <c r="AC33" s="351" t="n"/>
      <c r="AD33" s="351" t="n"/>
      <c r="AE33" s="351" t="n"/>
      <c r="AF33" s="351" t="n"/>
      <c r="AG33" s="351" t="n"/>
      <c r="AH33" s="351" t="n"/>
      <c r="AI33" s="351" t="n"/>
      <c r="AJ33" s="350">
        <f>SUM(E33:AI33)</f>
        <v/>
      </c>
      <c r="BL33" s="352" t="n"/>
    </row>
    <row r="34" ht="13.7" customHeight="1" s="276">
      <c r="A34" s="48">
        <f>A33+1</f>
        <v/>
      </c>
      <c r="B34" s="277" t="inlineStr">
        <is>
          <t>Isadora da Silva Cardoso</t>
        </is>
      </c>
      <c r="C34" s="257" t="n"/>
      <c r="D34" s="255" t="n"/>
      <c r="E34" s="351" t="n">
        <v>1050</v>
      </c>
      <c r="F34" s="351" t="n">
        <v>1050</v>
      </c>
      <c r="G34" s="351" t="n">
        <v>1050</v>
      </c>
      <c r="H34" s="351" t="n">
        <v>1050</v>
      </c>
      <c r="I34" s="351" t="n">
        <v>1050</v>
      </c>
      <c r="J34" s="351" t="n">
        <v>1050</v>
      </c>
      <c r="K34" s="351" t="n">
        <v>1050</v>
      </c>
      <c r="L34" s="351" t="n">
        <v>1050</v>
      </c>
      <c r="M34" s="351" t="n">
        <v>1050</v>
      </c>
      <c r="N34" s="351" t="n">
        <v>1050</v>
      </c>
      <c r="O34" s="351" t="n">
        <v>1050</v>
      </c>
      <c r="P34" s="351" t="n">
        <v>1050</v>
      </c>
      <c r="Q34" s="351" t="n">
        <v>1050</v>
      </c>
      <c r="R34" s="351" t="n">
        <v>1050</v>
      </c>
      <c r="S34" s="351" t="n">
        <v>1050</v>
      </c>
      <c r="T34" s="351" t="n">
        <v>1050</v>
      </c>
      <c r="U34" s="351" t="n">
        <v>1050</v>
      </c>
      <c r="V34" s="351" t="n">
        <v>1050</v>
      </c>
      <c r="W34" s="351" t="n">
        <v>1050</v>
      </c>
      <c r="X34" s="351" t="n">
        <v>1050</v>
      </c>
      <c r="Y34" s="351" t="n">
        <v>1050</v>
      </c>
      <c r="Z34" s="351" t="n">
        <v>1050</v>
      </c>
      <c r="AA34" s="351" t="n">
        <v>1050</v>
      </c>
      <c r="AB34" s="351" t="n">
        <v>1050</v>
      </c>
      <c r="AC34" s="351" t="n">
        <v>1050</v>
      </c>
      <c r="AD34" s="351" t="n">
        <v>1050</v>
      </c>
      <c r="AE34" s="351" t="n">
        <v>1050</v>
      </c>
      <c r="AF34" s="351" t="n">
        <v>1050</v>
      </c>
      <c r="AG34" s="351" t="n">
        <v>1050</v>
      </c>
      <c r="AH34" s="351" t="n">
        <v>1050</v>
      </c>
      <c r="AI34" s="351" t="n"/>
      <c r="AJ34" s="350">
        <f>SUM(E34:AI34)</f>
        <v/>
      </c>
      <c r="BL34" s="352" t="n"/>
    </row>
    <row r="35" ht="13.7" customHeight="1" s="276">
      <c r="A35" s="48">
        <f>A34+1</f>
        <v/>
      </c>
      <c r="B35" s="277" t="inlineStr">
        <is>
          <t>João Sérgio Silva Santos</t>
        </is>
      </c>
      <c r="C35" s="257" t="n"/>
      <c r="D35" s="255" t="n"/>
      <c r="E35" s="351" t="n">
        <v>3200</v>
      </c>
      <c r="F35" s="351" t="n">
        <v>3200</v>
      </c>
      <c r="G35" s="351" t="n">
        <v>3200</v>
      </c>
      <c r="H35" s="351" t="n">
        <v>3200</v>
      </c>
      <c r="I35" s="351" t="n">
        <v>3200</v>
      </c>
      <c r="J35" s="351" t="n">
        <v>3200</v>
      </c>
      <c r="K35" s="351" t="n">
        <v>3200</v>
      </c>
      <c r="L35" s="351" t="n">
        <v>3200</v>
      </c>
      <c r="M35" s="351" t="n">
        <v>3200</v>
      </c>
      <c r="N35" s="351" t="n">
        <v>3200</v>
      </c>
      <c r="O35" s="351" t="n">
        <v>3200</v>
      </c>
      <c r="P35" s="351" t="n">
        <v>3200</v>
      </c>
      <c r="Q35" s="351" t="n">
        <v>3200</v>
      </c>
      <c r="R35" s="351" t="n">
        <v>3200</v>
      </c>
      <c r="S35" s="351" t="n">
        <v>3200</v>
      </c>
      <c r="T35" s="351" t="n">
        <v>3200</v>
      </c>
      <c r="U35" s="351" t="n">
        <v>3200</v>
      </c>
      <c r="V35" s="351" t="n">
        <v>3200</v>
      </c>
      <c r="W35" s="351" t="n">
        <v>3200</v>
      </c>
      <c r="X35" s="351" t="n">
        <v>3200</v>
      </c>
      <c r="Y35" s="351" t="n">
        <v>3200</v>
      </c>
      <c r="Z35" s="351" t="n">
        <v>3200</v>
      </c>
      <c r="AA35" s="351" t="n"/>
      <c r="AB35" s="351" t="n"/>
      <c r="AC35" s="351" t="n"/>
      <c r="AD35" s="351" t="n"/>
      <c r="AE35" s="351" t="n"/>
      <c r="AF35" s="351" t="n"/>
      <c r="AG35" s="351" t="n"/>
      <c r="AH35" s="351" t="n"/>
      <c r="AI35" s="351" t="n"/>
      <c r="AJ35" s="350">
        <f>SUM(E35:AI35)</f>
        <v/>
      </c>
      <c r="BL35" s="352" t="n"/>
    </row>
    <row r="36" ht="13.7" customHeight="1" s="276">
      <c r="A36" s="48">
        <f>A35+1</f>
        <v/>
      </c>
      <c r="B36" s="277" t="inlineStr">
        <is>
          <t>Liseane Padilha Thives</t>
        </is>
      </c>
      <c r="C36" s="257" t="n"/>
      <c r="D36" s="255" t="n"/>
      <c r="E36" s="351" t="n">
        <v>3000</v>
      </c>
      <c r="F36" s="351" t="n"/>
      <c r="G36" s="351" t="n"/>
      <c r="H36" s="351" t="n"/>
      <c r="I36" s="351" t="n"/>
      <c r="J36" s="351" t="n"/>
      <c r="K36" s="351" t="n"/>
      <c r="L36" s="351" t="n"/>
      <c r="M36" s="351" t="n"/>
      <c r="N36" s="351" t="n"/>
      <c r="O36" s="351" t="n"/>
      <c r="P36" s="351" t="n"/>
      <c r="Q36" s="351" t="n"/>
      <c r="R36" s="351" t="n"/>
      <c r="S36" s="351" t="n"/>
      <c r="T36" s="351" t="n"/>
      <c r="U36" s="351" t="n"/>
      <c r="V36" s="351" t="n"/>
      <c r="W36" s="351" t="n"/>
      <c r="X36" s="351" t="n"/>
      <c r="Y36" s="351" t="n"/>
      <c r="Z36" s="351" t="n"/>
      <c r="AA36" s="351" t="n"/>
      <c r="AB36" s="351" t="n"/>
      <c r="AC36" s="351" t="n"/>
      <c r="AD36" s="351" t="n"/>
      <c r="AE36" s="351" t="n"/>
      <c r="AF36" s="351" t="n"/>
      <c r="AG36" s="351" t="n"/>
      <c r="AH36" s="351" t="n"/>
      <c r="AI36" s="351" t="n"/>
      <c r="AJ36" s="350">
        <f>SUM(E36:AI36)</f>
        <v/>
      </c>
      <c r="BL36" s="352" t="n"/>
    </row>
    <row r="37" ht="13.7" customHeight="1" s="276">
      <c r="A37" s="48">
        <f>A36+1</f>
        <v/>
      </c>
      <c r="B37" s="277" t="inlineStr">
        <is>
          <t>Luiza Ana Vendramin</t>
        </is>
      </c>
      <c r="C37" s="257" t="n"/>
      <c r="D37" s="255" t="n"/>
      <c r="E37" s="351" t="n">
        <v>1625</v>
      </c>
      <c r="F37" s="351" t="n">
        <v>1625</v>
      </c>
      <c r="G37" s="351" t="n">
        <v>1625</v>
      </c>
      <c r="H37" s="351" t="n">
        <v>1625</v>
      </c>
      <c r="I37" s="351" t="n">
        <v>1625</v>
      </c>
      <c r="J37" s="351" t="n">
        <v>1625</v>
      </c>
      <c r="K37" s="351" t="n">
        <v>1625</v>
      </c>
      <c r="L37" s="351" t="n"/>
      <c r="M37" s="351" t="n"/>
      <c r="N37" s="351" t="n"/>
      <c r="O37" s="351" t="n"/>
      <c r="P37" s="351" t="n"/>
      <c r="Q37" s="351" t="n"/>
      <c r="R37" s="351" t="n"/>
      <c r="S37" s="351" t="n"/>
      <c r="T37" s="351" t="n"/>
      <c r="U37" s="351" t="n"/>
      <c r="V37" s="351" t="n"/>
      <c r="W37" s="351" t="n"/>
      <c r="X37" s="351" t="n"/>
      <c r="Y37" s="351" t="n"/>
      <c r="Z37" s="351" t="n"/>
      <c r="AA37" s="351" t="n"/>
      <c r="AB37" s="351" t="n"/>
      <c r="AC37" s="351" t="n"/>
      <c r="AD37" s="351" t="n"/>
      <c r="AE37" s="351" t="n"/>
      <c r="AF37" s="351" t="n"/>
      <c r="AG37" s="351" t="n"/>
      <c r="AH37" s="351" t="n"/>
      <c r="AI37" s="351" t="n"/>
      <c r="AJ37" s="350">
        <f>SUM(E37:AI37)</f>
        <v/>
      </c>
      <c r="BL37" s="352" t="n"/>
    </row>
    <row r="38" ht="13.7" customHeight="1" s="276">
      <c r="A38" s="48">
        <f>A37+1</f>
        <v/>
      </c>
      <c r="B38" s="277" t="inlineStr">
        <is>
          <t>Rafael Augusto Dos Reis Higashi</t>
        </is>
      </c>
      <c r="C38" s="257" t="n"/>
      <c r="D38" s="255" t="n"/>
      <c r="E38" s="351" t="n">
        <v>3000</v>
      </c>
      <c r="F38" s="351" t="n"/>
      <c r="G38" s="351" t="n"/>
      <c r="H38" s="351" t="n"/>
      <c r="I38" s="351" t="n"/>
      <c r="J38" s="351" t="n"/>
      <c r="K38" s="351" t="n"/>
      <c r="L38" s="351" t="n"/>
      <c r="M38" s="351" t="n"/>
      <c r="N38" s="351" t="n"/>
      <c r="O38" s="351" t="n"/>
      <c r="P38" s="351" t="n"/>
      <c r="Q38" s="351" t="n"/>
      <c r="R38" s="351" t="n"/>
      <c r="S38" s="351" t="n"/>
      <c r="T38" s="351" t="n"/>
      <c r="U38" s="351" t="n"/>
      <c r="V38" s="351" t="n"/>
      <c r="W38" s="351" t="n"/>
      <c r="X38" s="351" t="n"/>
      <c r="Y38" s="351" t="n"/>
      <c r="Z38" s="351" t="n"/>
      <c r="AA38" s="351" t="n"/>
      <c r="AB38" s="351" t="n"/>
      <c r="AC38" s="351" t="n"/>
      <c r="AD38" s="351" t="n"/>
      <c r="AE38" s="351" t="n"/>
      <c r="AF38" s="351" t="n"/>
      <c r="AG38" s="351" t="n"/>
      <c r="AH38" s="351" t="n"/>
      <c r="AI38" s="351" t="n"/>
      <c r="AJ38" s="350">
        <f>SUM(E38:AI38)</f>
        <v/>
      </c>
      <c r="BL38" s="352" t="n"/>
    </row>
    <row r="39" ht="13.7" customHeight="1" s="276">
      <c r="A39" s="48">
        <f>A38+1</f>
        <v/>
      </c>
      <c r="B39" s="277" t="inlineStr">
        <is>
          <t>Roberto Caldas De Andrade Pinto</t>
        </is>
      </c>
      <c r="C39" s="257" t="n"/>
      <c r="D39" s="255" t="n"/>
      <c r="E39" s="351" t="n">
        <v>3000</v>
      </c>
      <c r="F39" s="351" t="n"/>
      <c r="G39" s="351" t="n"/>
      <c r="H39" s="351" t="n"/>
      <c r="I39" s="351" t="n"/>
      <c r="J39" s="351" t="n"/>
      <c r="K39" s="351" t="n"/>
      <c r="L39" s="351" t="n"/>
      <c r="M39" s="351" t="n"/>
      <c r="N39" s="351" t="n"/>
      <c r="O39" s="351" t="n"/>
      <c r="P39" s="351" t="n"/>
      <c r="Q39" s="351" t="n"/>
      <c r="R39" s="351" t="n"/>
      <c r="S39" s="351" t="n"/>
      <c r="T39" s="351" t="n"/>
      <c r="U39" s="351" t="n"/>
      <c r="V39" s="351" t="n"/>
      <c r="W39" s="351" t="n"/>
      <c r="X39" s="351" t="n"/>
      <c r="Y39" s="351" t="n"/>
      <c r="Z39" s="351" t="n"/>
      <c r="AA39" s="351" t="n"/>
      <c r="AB39" s="351" t="n"/>
      <c r="AC39" s="351" t="n"/>
      <c r="AD39" s="351" t="n"/>
      <c r="AE39" s="351" t="n"/>
      <c r="AF39" s="351" t="n"/>
      <c r="AG39" s="351" t="n"/>
      <c r="AH39" s="351" t="n"/>
      <c r="AI39" s="351" t="n"/>
      <c r="AJ39" s="350">
        <f>SUM(E39:AI39)</f>
        <v/>
      </c>
      <c r="BL39" s="352" t="n"/>
    </row>
    <row r="40" ht="13.7" customHeight="1" s="276">
      <c r="A40" s="48">
        <f>A39+1</f>
        <v/>
      </c>
      <c r="B40" s="277" t="inlineStr">
        <is>
          <t>Stephanie Thiesen</t>
        </is>
      </c>
      <c r="C40" s="257" t="n"/>
      <c r="D40" s="255" t="n"/>
      <c r="E40" s="351" t="n">
        <v>3000</v>
      </c>
      <c r="F40" s="351" t="n"/>
      <c r="G40" s="351" t="n"/>
      <c r="H40" s="351" t="n"/>
      <c r="I40" s="351" t="n"/>
      <c r="J40" s="351" t="n"/>
      <c r="K40" s="351" t="n"/>
      <c r="L40" s="351" t="n"/>
      <c r="M40" s="351" t="n"/>
      <c r="N40" s="351" t="n"/>
      <c r="O40" s="351" t="n"/>
      <c r="P40" s="351" t="n"/>
      <c r="Q40" s="351" t="n"/>
      <c r="R40" s="351" t="n"/>
      <c r="S40" s="351" t="n"/>
      <c r="T40" s="351" t="n"/>
      <c r="U40" s="351" t="n"/>
      <c r="V40" s="351" t="n"/>
      <c r="W40" s="351" t="n"/>
      <c r="X40" s="351" t="n"/>
      <c r="Y40" s="351" t="n"/>
      <c r="Z40" s="351" t="n"/>
      <c r="AA40" s="351" t="n"/>
      <c r="AB40" s="351" t="n"/>
      <c r="AC40" s="351" t="n"/>
      <c r="AD40" s="351" t="n"/>
      <c r="AE40" s="351" t="n"/>
      <c r="AF40" s="351" t="n"/>
      <c r="AG40" s="351" t="n"/>
      <c r="AH40" s="351" t="n"/>
      <c r="AI40" s="351" t="n"/>
      <c r="AJ40" s="350">
        <f>SUM(E40:AI40)</f>
        <v/>
      </c>
      <c r="BL40" s="352" t="n"/>
    </row>
    <row r="41" ht="13.7" customHeight="1" s="276">
      <c r="A41" s="48">
        <f>A40+1</f>
        <v/>
      </c>
      <c r="B41" s="277" t="inlineStr">
        <is>
          <t>Vinícios Rosa Buzzi</t>
        </is>
      </c>
      <c r="C41" s="257" t="n"/>
      <c r="D41" s="255" t="n"/>
      <c r="E41" s="351" t="n">
        <v>1050</v>
      </c>
      <c r="F41" s="351" t="n">
        <v>1050</v>
      </c>
      <c r="G41" s="351" t="n">
        <v>1050</v>
      </c>
      <c r="H41" s="351" t="n">
        <v>1050</v>
      </c>
      <c r="I41" s="351" t="n">
        <v>1050</v>
      </c>
      <c r="J41" s="351" t="n">
        <v>1050</v>
      </c>
      <c r="K41" s="351" t="n">
        <v>1050</v>
      </c>
      <c r="L41" s="351" t="n">
        <v>1050</v>
      </c>
      <c r="M41" s="351" t="n">
        <v>1050</v>
      </c>
      <c r="N41" s="351" t="n"/>
      <c r="O41" s="351" t="n"/>
      <c r="P41" s="351" t="n"/>
      <c r="Q41" s="351" t="n"/>
      <c r="R41" s="351" t="n"/>
      <c r="S41" s="351" t="n"/>
      <c r="T41" s="351" t="n"/>
      <c r="U41" s="351" t="n"/>
      <c r="V41" s="351" t="n"/>
      <c r="W41" s="351" t="n"/>
      <c r="X41" s="351" t="n"/>
      <c r="Y41" s="351" t="n"/>
      <c r="Z41" s="351" t="n"/>
      <c r="AA41" s="351" t="n"/>
      <c r="AB41" s="351" t="n"/>
      <c r="AC41" s="351" t="n"/>
      <c r="AD41" s="351" t="n"/>
      <c r="AE41" s="351" t="n"/>
      <c r="AF41" s="351" t="n"/>
      <c r="AG41" s="351" t="n"/>
      <c r="AH41" s="351" t="n"/>
      <c r="AI41" s="351" t="n"/>
      <c r="AJ41" s="350">
        <f>SUM(E41:AI41)</f>
        <v/>
      </c>
      <c r="BL41" s="352" t="n"/>
    </row>
    <row r="42" ht="13.7" customHeight="1" s="276">
      <c r="A42" s="48">
        <f>A41+1</f>
        <v/>
      </c>
      <c r="B42" s="277" t="inlineStr">
        <is>
          <t>Vinícius Chaves</t>
        </is>
      </c>
      <c r="C42" s="257" t="n"/>
      <c r="D42" s="255" t="n"/>
      <c r="E42" s="351" t="n">
        <v>1050</v>
      </c>
      <c r="F42" s="351" t="n">
        <v>1050</v>
      </c>
      <c r="G42" s="351" t="n">
        <v>1050</v>
      </c>
      <c r="H42" s="351" t="n">
        <v>1050</v>
      </c>
      <c r="I42" s="351" t="n">
        <v>1050</v>
      </c>
      <c r="J42" s="351" t="n">
        <v>1050</v>
      </c>
      <c r="K42" s="351" t="n">
        <v>1050</v>
      </c>
      <c r="L42" s="351" t="n">
        <v>1050</v>
      </c>
      <c r="M42" s="351" t="n">
        <v>1050</v>
      </c>
      <c r="N42" s="351" t="n">
        <v>1050</v>
      </c>
      <c r="O42" s="351" t="n">
        <v>1050</v>
      </c>
      <c r="P42" s="351" t="n">
        <v>1050</v>
      </c>
      <c r="Q42" s="351" t="n">
        <v>1050</v>
      </c>
      <c r="R42" s="351" t="n">
        <v>1050</v>
      </c>
      <c r="S42" s="351" t="n"/>
      <c r="T42" s="351" t="n"/>
      <c r="U42" s="351" t="n"/>
      <c r="V42" s="351" t="n"/>
      <c r="W42" s="351" t="n"/>
      <c r="X42" s="351" t="n"/>
      <c r="Y42" s="351" t="n"/>
      <c r="Z42" s="351" t="n"/>
      <c r="AA42" s="351" t="n"/>
      <c r="AB42" s="351" t="n"/>
      <c r="AC42" s="351" t="n"/>
      <c r="AD42" s="351" t="n"/>
      <c r="AE42" s="351" t="n"/>
      <c r="AF42" s="351" t="n"/>
      <c r="AG42" s="351" t="n"/>
      <c r="AH42" s="351" t="n"/>
      <c r="AI42" s="351" t="n"/>
      <c r="AJ42" s="350">
        <f>SUM(E42:AI42)</f>
        <v/>
      </c>
      <c r="BL42" s="352" t="n"/>
    </row>
    <row r="43" ht="13.7" customHeight="1" s="276">
      <c r="A43" s="48">
        <f>A42+1</f>
        <v/>
      </c>
      <c r="B43" s="277" t="inlineStr">
        <is>
          <t>Wellington Longuini Repette</t>
        </is>
      </c>
      <c r="C43" s="257" t="n"/>
      <c r="D43" s="255" t="n"/>
      <c r="E43" s="351" t="n">
        <v>4800</v>
      </c>
      <c r="F43" s="351" t="n">
        <v>4800</v>
      </c>
      <c r="G43" s="351" t="n">
        <v>4800</v>
      </c>
      <c r="H43" s="351" t="n">
        <v>4800</v>
      </c>
      <c r="I43" s="351" t="n">
        <v>4800</v>
      </c>
      <c r="J43" s="351" t="n">
        <v>4800</v>
      </c>
      <c r="K43" s="351" t="n">
        <v>4800</v>
      </c>
      <c r="L43" s="351" t="n"/>
      <c r="M43" s="351" t="n"/>
      <c r="N43" s="351" t="n"/>
      <c r="O43" s="351" t="n"/>
      <c r="P43" s="351" t="n"/>
      <c r="Q43" s="351" t="n"/>
      <c r="R43" s="351" t="n"/>
      <c r="S43" s="351" t="n"/>
      <c r="T43" s="351" t="n"/>
      <c r="U43" s="351" t="n"/>
      <c r="V43" s="351" t="n"/>
      <c r="W43" s="351" t="n"/>
      <c r="X43" s="351" t="n"/>
      <c r="Y43" s="351" t="n"/>
      <c r="Z43" s="351" t="n"/>
      <c r="AA43" s="351" t="n"/>
      <c r="AB43" s="351" t="n"/>
      <c r="AC43" s="351" t="n"/>
      <c r="AD43" s="351" t="n"/>
      <c r="AE43" s="351" t="n"/>
      <c r="AF43" s="351" t="n"/>
      <c r="AG43" s="351" t="n"/>
      <c r="AH43" s="351" t="n"/>
      <c r="AI43" s="351" t="n"/>
      <c r="AJ43" s="350">
        <f>SUM(E43:AI43)</f>
        <v/>
      </c>
      <c r="BL43" s="352" t="n"/>
    </row>
    <row r="44" ht="13.7" customHeight="1" s="276">
      <c r="A44" s="48">
        <f>A43+1</f>
        <v/>
      </c>
      <c r="B44" s="254" t="inlineStr">
        <is>
          <t>Consultores</t>
        </is>
      </c>
      <c r="C44" s="257" t="n"/>
      <c r="D44" s="255" t="n"/>
      <c r="E44" s="351" t="n">
        <v>20000</v>
      </c>
      <c r="F44" s="351" t="n">
        <v>20000</v>
      </c>
      <c r="G44" s="351" t="n">
        <v>20000</v>
      </c>
      <c r="H44" s="351" t="n">
        <v>20000</v>
      </c>
      <c r="I44" s="351" t="n">
        <v>20000</v>
      </c>
      <c r="J44" s="351" t="n">
        <v>20000</v>
      </c>
      <c r="K44" s="351" t="n">
        <v>20000</v>
      </c>
      <c r="L44" s="351" t="n">
        <v>20000</v>
      </c>
      <c r="M44" s="351" t="n">
        <v>20000</v>
      </c>
      <c r="N44" s="351" t="n">
        <v>20000</v>
      </c>
      <c r="O44" s="351" t="n">
        <v>20000</v>
      </c>
      <c r="P44" s="351" t="n">
        <v>20000</v>
      </c>
      <c r="Q44" s="351" t="n">
        <v>20000</v>
      </c>
      <c r="R44" s="351" t="n">
        <v>20000</v>
      </c>
      <c r="S44" s="351" t="n">
        <v>20000</v>
      </c>
      <c r="T44" s="351" t="n">
        <v>20000</v>
      </c>
      <c r="U44" s="351" t="n">
        <v>20000</v>
      </c>
      <c r="V44" s="351" t="n">
        <v>20000</v>
      </c>
      <c r="W44" s="351" t="n">
        <v>20000</v>
      </c>
      <c r="X44" s="351" t="n">
        <v>20000</v>
      </c>
      <c r="Y44" s="351" t="n">
        <v>20000</v>
      </c>
      <c r="Z44" s="351" t="n">
        <v>20000</v>
      </c>
      <c r="AA44" s="351" t="n">
        <v>20000</v>
      </c>
      <c r="AB44" s="351" t="n">
        <v>20000</v>
      </c>
      <c r="AC44" s="351" t="n">
        <v>20000</v>
      </c>
      <c r="AD44" s="351" t="n">
        <v>20000</v>
      </c>
      <c r="AE44" s="351" t="n">
        <v>20000</v>
      </c>
      <c r="AF44" s="351" t="n">
        <v>20000</v>
      </c>
      <c r="AG44" s="351" t="n">
        <v>20000</v>
      </c>
      <c r="AH44" s="351" t="n">
        <v>20000</v>
      </c>
      <c r="AI44" s="351" t="n">
        <v>20000</v>
      </c>
      <c r="AJ44" s="350">
        <f>SUM(E44:AI44)</f>
        <v/>
      </c>
    </row>
    <row r="45" ht="13.7" customHeight="1" s="276">
      <c r="A45" s="48">
        <f>A44+1</f>
        <v/>
      </c>
      <c r="B45" s="254" t="inlineStr">
        <is>
          <t>Serviços de Terceiros</t>
        </is>
      </c>
      <c r="C45" s="257" t="n"/>
      <c r="D45" s="255" t="n"/>
      <c r="E45" s="351" t="n">
        <v>45000</v>
      </c>
      <c r="F45" s="351" t="n">
        <v>45000</v>
      </c>
      <c r="G45" s="351" t="n">
        <v>45000</v>
      </c>
      <c r="H45" s="351" t="n">
        <v>45000</v>
      </c>
      <c r="I45" s="351" t="n">
        <v>45000</v>
      </c>
      <c r="J45" s="351" t="n">
        <v>45000</v>
      </c>
      <c r="K45" s="351" t="n">
        <v>45000</v>
      </c>
      <c r="L45" s="351" t="n">
        <v>45000</v>
      </c>
      <c r="M45" s="351" t="n">
        <v>45000</v>
      </c>
      <c r="N45" s="351" t="n">
        <v>45000</v>
      </c>
      <c r="O45" s="351" t="n">
        <v>45000</v>
      </c>
      <c r="P45" s="351" t="n">
        <v>45000</v>
      </c>
      <c r="Q45" s="351" t="n">
        <v>45000</v>
      </c>
      <c r="R45" s="351" t="n">
        <v>45000</v>
      </c>
      <c r="S45" s="351" t="n">
        <v>45000</v>
      </c>
      <c r="T45" s="351" t="n">
        <v>45000</v>
      </c>
      <c r="U45" s="351" t="n">
        <v>45000</v>
      </c>
      <c r="V45" s="351" t="n">
        <v>45000</v>
      </c>
      <c r="W45" s="351" t="n">
        <v>45000</v>
      </c>
      <c r="X45" s="351" t="n">
        <v>45000</v>
      </c>
      <c r="Y45" s="351" t="n">
        <v>45000</v>
      </c>
      <c r="Z45" s="351" t="n">
        <v>45000</v>
      </c>
      <c r="AA45" s="351" t="n">
        <v>45000</v>
      </c>
      <c r="AB45" s="351" t="n">
        <v>45000</v>
      </c>
      <c r="AC45" s="351" t="n">
        <v>45000</v>
      </c>
      <c r="AD45" s="351" t="n">
        <v>45000</v>
      </c>
      <c r="AE45" s="351" t="n">
        <v>45000</v>
      </c>
      <c r="AF45" s="351" t="n">
        <v>45000</v>
      </c>
      <c r="AG45" s="351" t="n">
        <v>45000</v>
      </c>
      <c r="AH45" s="351" t="n">
        <v>45000</v>
      </c>
      <c r="AI45" s="351" t="n">
        <v>45000</v>
      </c>
      <c r="AJ45" s="350">
        <f>SUM(E45:AI45)</f>
        <v/>
      </c>
    </row>
    <row r="46" ht="13.7" customHeight="1" s="276">
      <c r="A46" s="48">
        <f>A45+1</f>
        <v/>
      </c>
      <c r="B46" s="254" t="inlineStr">
        <is>
          <t>Passagens aéreas</t>
        </is>
      </c>
      <c r="C46" s="257" t="n"/>
      <c r="D46" s="255" t="n"/>
      <c r="E46" s="351" t="n">
        <v>30000</v>
      </c>
      <c r="F46" s="351" t="n">
        <v>30000</v>
      </c>
      <c r="G46" s="351" t="n">
        <v>30000</v>
      </c>
      <c r="H46" s="351" t="n">
        <v>30000</v>
      </c>
      <c r="I46" s="351" t="n">
        <v>30000</v>
      </c>
      <c r="J46" s="351" t="n">
        <v>30000</v>
      </c>
      <c r="K46" s="351" t="n">
        <v>30000</v>
      </c>
      <c r="L46" s="351" t="n">
        <v>30000</v>
      </c>
      <c r="M46" s="351" t="n">
        <v>30000</v>
      </c>
      <c r="N46" s="351" t="n">
        <v>30000</v>
      </c>
      <c r="O46" s="351" t="n">
        <v>30000</v>
      </c>
      <c r="P46" s="351" t="n">
        <v>30000</v>
      </c>
      <c r="Q46" s="351" t="n">
        <v>30000</v>
      </c>
      <c r="R46" s="351" t="n">
        <v>30000</v>
      </c>
      <c r="S46" s="351" t="n">
        <v>30000</v>
      </c>
      <c r="T46" s="351" t="n">
        <v>30000</v>
      </c>
      <c r="U46" s="351" t="n">
        <v>30000</v>
      </c>
      <c r="V46" s="351" t="n">
        <v>30000</v>
      </c>
      <c r="W46" s="351" t="n">
        <v>30000</v>
      </c>
      <c r="X46" s="351" t="n">
        <v>30000</v>
      </c>
      <c r="Y46" s="351" t="n">
        <v>30000</v>
      </c>
      <c r="Z46" s="351" t="n">
        <v>30000</v>
      </c>
      <c r="AA46" s="351" t="n">
        <v>30000</v>
      </c>
      <c r="AB46" s="351" t="n">
        <v>30000</v>
      </c>
      <c r="AC46" s="351" t="n">
        <v>30000</v>
      </c>
      <c r="AD46" s="351" t="n">
        <v>30000</v>
      </c>
      <c r="AE46" s="351" t="n">
        <v>30000</v>
      </c>
      <c r="AF46" s="351" t="n">
        <v>30000</v>
      </c>
      <c r="AG46" s="351" t="n">
        <v>30000</v>
      </c>
      <c r="AH46" s="351" t="n">
        <v>30000</v>
      </c>
      <c r="AI46" s="351" t="n">
        <v>30000</v>
      </c>
      <c r="AJ46" s="350">
        <f>SUM(E46:AI46)</f>
        <v/>
      </c>
    </row>
    <row r="47" ht="13.7" customHeight="1" s="276">
      <c r="A47" s="48">
        <f>A46+1</f>
        <v/>
      </c>
      <c r="B47" s="254" t="inlineStr">
        <is>
          <t>Diárias</t>
        </is>
      </c>
      <c r="C47" s="257" t="n"/>
      <c r="D47" s="255" t="n"/>
      <c r="E47" s="349" t="n">
        <v>15000</v>
      </c>
      <c r="F47" s="349" t="n">
        <v>15000</v>
      </c>
      <c r="G47" s="349" t="n">
        <v>15000</v>
      </c>
      <c r="H47" s="349" t="n">
        <v>15000</v>
      </c>
      <c r="I47" s="349" t="n">
        <v>15000</v>
      </c>
      <c r="J47" s="349" t="n">
        <v>15000</v>
      </c>
      <c r="K47" s="349" t="n">
        <v>15000</v>
      </c>
      <c r="L47" s="349" t="n">
        <v>15000</v>
      </c>
      <c r="M47" s="349" t="n">
        <v>15000</v>
      </c>
      <c r="N47" s="349" t="n">
        <v>15000</v>
      </c>
      <c r="O47" s="349" t="n">
        <v>15000</v>
      </c>
      <c r="P47" s="349" t="n">
        <v>15000</v>
      </c>
      <c r="Q47" s="349" t="n">
        <v>15000</v>
      </c>
      <c r="R47" s="349" t="n">
        <v>15000</v>
      </c>
      <c r="S47" s="349" t="n">
        <v>15000</v>
      </c>
      <c r="T47" s="349" t="n">
        <v>15000</v>
      </c>
      <c r="U47" s="349" t="n">
        <v>15000</v>
      </c>
      <c r="V47" s="349" t="n">
        <v>15000</v>
      </c>
      <c r="W47" s="349" t="n">
        <v>15000</v>
      </c>
      <c r="X47" s="349" t="n">
        <v>15000</v>
      </c>
      <c r="Y47" s="349" t="n">
        <v>15000</v>
      </c>
      <c r="Z47" s="349" t="n">
        <v>15000</v>
      </c>
      <c r="AA47" s="349" t="n">
        <v>15000</v>
      </c>
      <c r="AB47" s="349" t="n">
        <v>15000</v>
      </c>
      <c r="AC47" s="349" t="n">
        <v>15000</v>
      </c>
      <c r="AD47" s="349" t="n">
        <v>15000</v>
      </c>
      <c r="AE47" s="349" t="n">
        <v>15000</v>
      </c>
      <c r="AF47" s="349" t="n">
        <v>15000</v>
      </c>
      <c r="AG47" s="349" t="n">
        <v>15000</v>
      </c>
      <c r="AH47" s="349" t="n">
        <v>15000</v>
      </c>
      <c r="AI47" s="349" t="n">
        <v>15000</v>
      </c>
      <c r="AJ47" s="350">
        <f>SUM(E47:AI47)</f>
        <v/>
      </c>
    </row>
    <row r="48" ht="13.7" customHeight="1" s="276">
      <c r="A48" s="48">
        <f>A47+1</f>
        <v/>
      </c>
      <c r="B48" s="254" t="inlineStr">
        <is>
          <t>Material de Consumo</t>
        </is>
      </c>
      <c r="C48" s="257" t="n"/>
      <c r="D48" s="255" t="n"/>
      <c r="E48" s="349" t="n">
        <v>3000</v>
      </c>
      <c r="F48" s="349" t="n">
        <v>3000</v>
      </c>
      <c r="G48" s="349" t="n">
        <v>3000</v>
      </c>
      <c r="H48" s="349" t="n">
        <v>3000</v>
      </c>
      <c r="I48" s="349" t="n">
        <v>3000</v>
      </c>
      <c r="J48" s="349" t="n">
        <v>3000</v>
      </c>
      <c r="K48" s="349" t="n">
        <v>3000</v>
      </c>
      <c r="L48" s="349" t="n">
        <v>3000</v>
      </c>
      <c r="M48" s="349" t="n">
        <v>3000</v>
      </c>
      <c r="N48" s="349" t="n">
        <v>3000</v>
      </c>
      <c r="O48" s="349" t="n">
        <v>3000</v>
      </c>
      <c r="P48" s="349" t="n">
        <v>3000</v>
      </c>
      <c r="Q48" s="349" t="n">
        <v>3000</v>
      </c>
      <c r="R48" s="349" t="n">
        <v>3000</v>
      </c>
      <c r="S48" s="349" t="n">
        <v>3000</v>
      </c>
      <c r="T48" s="349" t="n">
        <v>3000</v>
      </c>
      <c r="U48" s="349" t="n">
        <v>3000</v>
      </c>
      <c r="V48" s="349" t="n">
        <v>3000</v>
      </c>
      <c r="W48" s="349" t="n">
        <v>3000</v>
      </c>
      <c r="X48" s="349" t="n">
        <v>3000</v>
      </c>
      <c r="Y48" s="349" t="n">
        <v>3000</v>
      </c>
      <c r="Z48" s="349" t="n">
        <v>3000</v>
      </c>
      <c r="AA48" s="349" t="n">
        <v>3000</v>
      </c>
      <c r="AB48" s="349" t="n">
        <v>3000</v>
      </c>
      <c r="AC48" s="349" t="n">
        <v>3000</v>
      </c>
      <c r="AD48" s="349" t="n">
        <v>3000</v>
      </c>
      <c r="AE48" s="349" t="n">
        <v>3000</v>
      </c>
      <c r="AF48" s="349" t="n">
        <v>3000</v>
      </c>
      <c r="AG48" s="349" t="n">
        <v>3000</v>
      </c>
      <c r="AH48" s="349" t="n">
        <v>3000</v>
      </c>
      <c r="AI48" s="349" t="n">
        <v>3000</v>
      </c>
      <c r="AJ48" s="350">
        <f>SUM(E48:AI48)</f>
        <v/>
      </c>
    </row>
    <row r="49" ht="13.7" customHeight="1" s="276">
      <c r="A49" s="282" t="inlineStr">
        <is>
          <t>subtotal</t>
        </is>
      </c>
      <c r="B49" s="257" t="n"/>
      <c r="C49" s="257" t="n"/>
      <c r="D49" s="255" t="n"/>
      <c r="E49" s="353">
        <f>SUM(E4:E48)</f>
        <v/>
      </c>
      <c r="F49" s="353">
        <f>SUM(F4:F48)</f>
        <v/>
      </c>
      <c r="G49" s="353">
        <f>SUM(G4:G48)</f>
        <v/>
      </c>
      <c r="H49" s="353">
        <f>SUM(H4:H48)</f>
        <v/>
      </c>
      <c r="I49" s="353">
        <f>SUM(I4:I48)</f>
        <v/>
      </c>
      <c r="J49" s="353">
        <f>SUM(J4:J48)</f>
        <v/>
      </c>
      <c r="K49" s="353">
        <f>SUM(K4:K48)</f>
        <v/>
      </c>
      <c r="L49" s="353">
        <f>SUM(L4:L48)</f>
        <v/>
      </c>
      <c r="M49" s="353">
        <f>SUM(M4:M48)</f>
        <v/>
      </c>
      <c r="N49" s="353">
        <f>SUM(N4:N48)</f>
        <v/>
      </c>
      <c r="O49" s="353">
        <f>SUM(O4:O48)</f>
        <v/>
      </c>
      <c r="P49" s="353">
        <f>SUM(P4:P48)</f>
        <v/>
      </c>
      <c r="Q49" s="353">
        <f>SUM(Q4:Q48)</f>
        <v/>
      </c>
      <c r="R49" s="353">
        <f>SUM(R4:R48)</f>
        <v/>
      </c>
      <c r="S49" s="353">
        <f>SUM(S4:S48)</f>
        <v/>
      </c>
      <c r="T49" s="353">
        <f>SUM(T4:T48)</f>
        <v/>
      </c>
      <c r="U49" s="353">
        <f>SUM(U4:U48)</f>
        <v/>
      </c>
      <c r="V49" s="353">
        <f>SUM(V4:V48)</f>
        <v/>
      </c>
      <c r="W49" s="353">
        <f>SUM(W4:W48)</f>
        <v/>
      </c>
      <c r="X49" s="353">
        <f>SUM(X4:X48)</f>
        <v/>
      </c>
      <c r="Y49" s="353">
        <f>SUM(Y4:Y48)</f>
        <v/>
      </c>
      <c r="Z49" s="353">
        <f>SUM(Z4:Z48)</f>
        <v/>
      </c>
      <c r="AA49" s="353">
        <f>SUM(AA4:AA48)</f>
        <v/>
      </c>
      <c r="AB49" s="353">
        <f>SUM(AB4:AB48)</f>
        <v/>
      </c>
      <c r="AC49" s="353">
        <f>SUM(AC4:AC48)</f>
        <v/>
      </c>
      <c r="AD49" s="353">
        <f>SUM(AD4:AD48)</f>
        <v/>
      </c>
      <c r="AE49" s="353">
        <f>SUM(AE4:AE48)</f>
        <v/>
      </c>
      <c r="AF49" s="353">
        <f>SUM(AF4:AF48)</f>
        <v/>
      </c>
      <c r="AG49" s="353">
        <f>SUM(AG4:AG48)</f>
        <v/>
      </c>
      <c r="AH49" s="353">
        <f>SUM(AH4:AH48)</f>
        <v/>
      </c>
      <c r="AI49" s="353">
        <f>SUM(AI4:AI48)</f>
        <v/>
      </c>
      <c r="AJ49" s="353">
        <f>SUM(AJ4:AJ48)</f>
        <v/>
      </c>
    </row>
    <row r="50" ht="13.7" customHeight="1" s="276">
      <c r="A50" s="55">
        <f>A48+1</f>
        <v/>
      </c>
      <c r="B50" s="280" t="inlineStr">
        <is>
          <t>FAPEU</t>
        </is>
      </c>
      <c r="C50" s="255" t="n"/>
      <c r="D50" s="56" t="n">
        <v>0.0755</v>
      </c>
      <c r="E50" s="351">
        <f>E2*$D$50</f>
        <v/>
      </c>
      <c r="F50" s="351">
        <f>F2*$D$50</f>
        <v/>
      </c>
      <c r="G50" s="351">
        <f>G2*$D$50</f>
        <v/>
      </c>
      <c r="H50" s="351">
        <f>H2*$D$50</f>
        <v/>
      </c>
      <c r="I50" s="351">
        <f>I2*$D$50</f>
        <v/>
      </c>
      <c r="J50" s="351">
        <f>J2*$D$50</f>
        <v/>
      </c>
      <c r="K50" s="351">
        <f>K2*$D$50</f>
        <v/>
      </c>
      <c r="L50" s="351">
        <f>L2*$D$50</f>
        <v/>
      </c>
      <c r="M50" s="351">
        <f>M2*$D$50</f>
        <v/>
      </c>
      <c r="N50" s="351">
        <f>N2*$D$50</f>
        <v/>
      </c>
      <c r="O50" s="351">
        <f>O2*$D$50</f>
        <v/>
      </c>
      <c r="P50" s="351">
        <f>P2*$D$50</f>
        <v/>
      </c>
      <c r="Q50" s="351">
        <f>Q2*$D$50</f>
        <v/>
      </c>
      <c r="R50" s="351">
        <f>R2*$D$50</f>
        <v/>
      </c>
      <c r="S50" s="351">
        <f>S2*$D$50</f>
        <v/>
      </c>
      <c r="T50" s="351">
        <f>T2*$D$50</f>
        <v/>
      </c>
      <c r="U50" s="351">
        <f>U2*$D$50</f>
        <v/>
      </c>
      <c r="V50" s="351">
        <f>V2*$D$50</f>
        <v/>
      </c>
      <c r="W50" s="351">
        <f>W2*$D$50</f>
        <v/>
      </c>
      <c r="X50" s="351">
        <f>X2*$D$50</f>
        <v/>
      </c>
      <c r="Y50" s="351">
        <f>Y2*$D$50</f>
        <v/>
      </c>
      <c r="Z50" s="351">
        <f>Z2*$D$50</f>
        <v/>
      </c>
      <c r="AA50" s="351">
        <f>AA2*$D$50</f>
        <v/>
      </c>
      <c r="AB50" s="351">
        <f>AB2*$D$50</f>
        <v/>
      </c>
      <c r="AC50" s="351">
        <f>AC2*$D$50</f>
        <v/>
      </c>
      <c r="AD50" s="351">
        <f>AD2*$D$50</f>
        <v/>
      </c>
      <c r="AE50" s="351">
        <f>AE2*$D$50</f>
        <v/>
      </c>
      <c r="AF50" s="351">
        <f>AF2*$D$50</f>
        <v/>
      </c>
      <c r="AG50" s="351">
        <f>AG2*$D$50</f>
        <v/>
      </c>
      <c r="AH50" s="351">
        <f>AH2*$D$50</f>
        <v/>
      </c>
      <c r="AI50" s="351">
        <f>AI2*$D$50</f>
        <v/>
      </c>
      <c r="AJ50" s="354">
        <f>SUM(E50:AI50)</f>
        <v/>
      </c>
    </row>
    <row r="51" ht="13.7" customHeight="1" s="276">
      <c r="A51" s="55">
        <f>A50+1</f>
        <v/>
      </c>
      <c r="B51" s="280" t="inlineStr">
        <is>
          <t>Centro Tecnológico</t>
        </is>
      </c>
      <c r="C51" s="255" t="n"/>
      <c r="D51" s="56" t="n">
        <v>0.01</v>
      </c>
      <c r="E51" s="351">
        <f>E2*$D$51</f>
        <v/>
      </c>
      <c r="F51" s="351">
        <f>F2*$D$51</f>
        <v/>
      </c>
      <c r="G51" s="351">
        <f>G2*$D$51</f>
        <v/>
      </c>
      <c r="H51" s="351">
        <f>H2*$D$51</f>
        <v/>
      </c>
      <c r="I51" s="351">
        <f>I2*$D$51</f>
        <v/>
      </c>
      <c r="J51" s="351">
        <f>J2*$D$51</f>
        <v/>
      </c>
      <c r="K51" s="351">
        <f>K2*$D$51</f>
        <v/>
      </c>
      <c r="L51" s="351">
        <f>L2*$D$51</f>
        <v/>
      </c>
      <c r="M51" s="351">
        <f>M2*$D$51</f>
        <v/>
      </c>
      <c r="N51" s="351">
        <f>N2*$D$51</f>
        <v/>
      </c>
      <c r="O51" s="351">
        <f>O2*$D$51</f>
        <v/>
      </c>
      <c r="P51" s="351">
        <f>P2*$D$51</f>
        <v/>
      </c>
      <c r="Q51" s="351">
        <f>Q2*$D$51</f>
        <v/>
      </c>
      <c r="R51" s="351">
        <f>R2*$D$51</f>
        <v/>
      </c>
      <c r="S51" s="351">
        <f>S2*$D$51</f>
        <v/>
      </c>
      <c r="T51" s="351">
        <f>T2*$D$51</f>
        <v/>
      </c>
      <c r="U51" s="351">
        <f>U2*$D$51</f>
        <v/>
      </c>
      <c r="V51" s="351">
        <f>V2*$D$51</f>
        <v/>
      </c>
      <c r="W51" s="351">
        <f>W2*$D$51</f>
        <v/>
      </c>
      <c r="X51" s="351">
        <f>X2*$D$51</f>
        <v/>
      </c>
      <c r="Y51" s="351">
        <f>Y2*$D$51</f>
        <v/>
      </c>
      <c r="Z51" s="351">
        <f>Z2*$D$51</f>
        <v/>
      </c>
      <c r="AA51" s="351">
        <f>AA2*$D$51</f>
        <v/>
      </c>
      <c r="AB51" s="351">
        <f>AB2*$D$51</f>
        <v/>
      </c>
      <c r="AC51" s="351">
        <f>AC2*$D$51</f>
        <v/>
      </c>
      <c r="AD51" s="351">
        <f>AD2*$D$51</f>
        <v/>
      </c>
      <c r="AE51" s="351">
        <f>AE2*$D$51</f>
        <v/>
      </c>
      <c r="AF51" s="351">
        <f>AF2*$D$51</f>
        <v/>
      </c>
      <c r="AG51" s="351">
        <f>AG2*$D$51</f>
        <v/>
      </c>
      <c r="AH51" s="351">
        <f>AH2*$D$51</f>
        <v/>
      </c>
      <c r="AI51" s="351">
        <f>AI2*$D$51</f>
        <v/>
      </c>
      <c r="AJ51" s="354">
        <f>SUM(E51:AI51)</f>
        <v/>
      </c>
    </row>
    <row r="52" ht="13.7" customHeight="1" s="276">
      <c r="A52" s="55">
        <f>A51+1</f>
        <v/>
      </c>
      <c r="B52" s="280" t="inlineStr">
        <is>
          <t>E.C.V.</t>
        </is>
      </c>
      <c r="C52" s="255" t="n"/>
      <c r="D52" s="56" t="n">
        <v>0.02</v>
      </c>
      <c r="E52" s="351">
        <f>E2*$D$52</f>
        <v/>
      </c>
      <c r="F52" s="351">
        <f>F2*$D$52</f>
        <v/>
      </c>
      <c r="G52" s="351">
        <f>G2*$D$52</f>
        <v/>
      </c>
      <c r="H52" s="351">
        <f>H2*$D$52</f>
        <v/>
      </c>
      <c r="I52" s="351">
        <f>I2*$D$52</f>
        <v/>
      </c>
      <c r="J52" s="351">
        <f>J2*$D$52</f>
        <v/>
      </c>
      <c r="K52" s="351">
        <f>K2*$D$52</f>
        <v/>
      </c>
      <c r="L52" s="351">
        <f>L2*$D$52</f>
        <v/>
      </c>
      <c r="M52" s="351">
        <f>M2*$D$52</f>
        <v/>
      </c>
      <c r="N52" s="351">
        <f>N2*$D$52</f>
        <v/>
      </c>
      <c r="O52" s="351">
        <f>O2*$D$52</f>
        <v/>
      </c>
      <c r="P52" s="351">
        <f>P2*$D$52</f>
        <v/>
      </c>
      <c r="Q52" s="351">
        <f>Q2*$D$52</f>
        <v/>
      </c>
      <c r="R52" s="351">
        <f>R2*$D$52</f>
        <v/>
      </c>
      <c r="S52" s="351">
        <f>S2*$D$52</f>
        <v/>
      </c>
      <c r="T52" s="351">
        <f>T2*$D$52</f>
        <v/>
      </c>
      <c r="U52" s="351">
        <f>U2*$D$52</f>
        <v/>
      </c>
      <c r="V52" s="351">
        <f>V2*$D$52</f>
        <v/>
      </c>
      <c r="W52" s="351">
        <f>W2*$D$52</f>
        <v/>
      </c>
      <c r="X52" s="351">
        <f>X2*$D$52</f>
        <v/>
      </c>
      <c r="Y52" s="351">
        <f>Y2*$D$52</f>
        <v/>
      </c>
      <c r="Z52" s="351">
        <f>Z2*$D$52</f>
        <v/>
      </c>
      <c r="AA52" s="351">
        <f>AA2*$D$52</f>
        <v/>
      </c>
      <c r="AB52" s="351">
        <f>AB2*$D$52</f>
        <v/>
      </c>
      <c r="AC52" s="351">
        <f>AC2*$D$52</f>
        <v/>
      </c>
      <c r="AD52" s="351">
        <f>AD2*$D$52</f>
        <v/>
      </c>
      <c r="AE52" s="351">
        <f>AE2*$D$52</f>
        <v/>
      </c>
      <c r="AF52" s="351">
        <f>AF2*$D$52</f>
        <v/>
      </c>
      <c r="AG52" s="351">
        <f>AG2*$D$52</f>
        <v/>
      </c>
      <c r="AH52" s="351">
        <f>AH2*$D$52</f>
        <v/>
      </c>
      <c r="AI52" s="351">
        <f>AI2*$D$52</f>
        <v/>
      </c>
      <c r="AJ52" s="354">
        <f>SUM(E52:AI52)</f>
        <v/>
      </c>
    </row>
    <row r="53" ht="13.7" customHeight="1" s="276">
      <c r="A53" s="55">
        <f>A52+1</f>
        <v/>
      </c>
      <c r="B53" s="280" t="inlineStr">
        <is>
          <t>UFSC</t>
        </is>
      </c>
      <c r="C53" s="255" t="n"/>
      <c r="D53" s="56" t="n">
        <v>0.04</v>
      </c>
      <c r="E53" s="351">
        <f>E2*$D$53</f>
        <v/>
      </c>
      <c r="F53" s="351">
        <f>F2*$D$53</f>
        <v/>
      </c>
      <c r="G53" s="351">
        <f>G2*$D$53</f>
        <v/>
      </c>
      <c r="H53" s="351">
        <f>H2*$D$53</f>
        <v/>
      </c>
      <c r="I53" s="351">
        <f>I2*$D$53</f>
        <v/>
      </c>
      <c r="J53" s="351">
        <f>J2*$D$53</f>
        <v/>
      </c>
      <c r="K53" s="351">
        <f>K2*$D$53</f>
        <v/>
      </c>
      <c r="L53" s="351">
        <f>L2*$D$53</f>
        <v/>
      </c>
      <c r="M53" s="351">
        <f>M2*$D$53</f>
        <v/>
      </c>
      <c r="N53" s="351">
        <f>N2*$D$53</f>
        <v/>
      </c>
      <c r="O53" s="351">
        <f>O2*$D$53</f>
        <v/>
      </c>
      <c r="P53" s="351">
        <f>P2*$D$53</f>
        <v/>
      </c>
      <c r="Q53" s="351">
        <f>Q2*$D$53</f>
        <v/>
      </c>
      <c r="R53" s="351">
        <f>R2*$D$53</f>
        <v/>
      </c>
      <c r="S53" s="351">
        <f>S2*$D$53</f>
        <v/>
      </c>
      <c r="T53" s="351">
        <f>T2*$D$53</f>
        <v/>
      </c>
      <c r="U53" s="351">
        <f>U2*$D$53</f>
        <v/>
      </c>
      <c r="V53" s="351">
        <f>V2*$D$53</f>
        <v/>
      </c>
      <c r="W53" s="351">
        <f>W2*$D$53</f>
        <v/>
      </c>
      <c r="X53" s="351">
        <f>X2*$D$53</f>
        <v/>
      </c>
      <c r="Y53" s="351">
        <f>Y2*$D$53</f>
        <v/>
      </c>
      <c r="Z53" s="351">
        <f>Z2*$D$53</f>
        <v/>
      </c>
      <c r="AA53" s="351">
        <f>AA2*$D$53</f>
        <v/>
      </c>
      <c r="AB53" s="351">
        <f>AB2*$D$53</f>
        <v/>
      </c>
      <c r="AC53" s="351">
        <f>AC2*$D$53</f>
        <v/>
      </c>
      <c r="AD53" s="351">
        <f>AD2*$D$53</f>
        <v/>
      </c>
      <c r="AE53" s="351">
        <f>AE2*$D$53</f>
        <v/>
      </c>
      <c r="AF53" s="351">
        <f>AF2*$D$53</f>
        <v/>
      </c>
      <c r="AG53" s="351">
        <f>AG2*$D$53</f>
        <v/>
      </c>
      <c r="AH53" s="351">
        <f>AH2*$D$53</f>
        <v/>
      </c>
      <c r="AI53" s="351">
        <f>AI2*$D$53</f>
        <v/>
      </c>
      <c r="AJ53" s="354">
        <f>SUM(E53:AI53)</f>
        <v/>
      </c>
    </row>
    <row r="54" ht="13.7" customHeight="1" s="276">
      <c r="A54" s="282" t="inlineStr">
        <is>
          <t>subtotal2</t>
        </is>
      </c>
      <c r="B54" s="257" t="n"/>
      <c r="C54" s="257" t="n"/>
      <c r="D54" s="255" t="n"/>
      <c r="E54" s="353">
        <f>SUM(E50:E53)</f>
        <v/>
      </c>
      <c r="F54" s="353">
        <f>SUM(F50:F53)</f>
        <v/>
      </c>
      <c r="G54" s="353">
        <f>SUM(G50:G53)</f>
        <v/>
      </c>
      <c r="H54" s="353">
        <f>SUM(H50:H53)</f>
        <v/>
      </c>
      <c r="I54" s="353">
        <f>SUM(I50:I53)</f>
        <v/>
      </c>
      <c r="J54" s="353">
        <f>SUM(J50:J53)</f>
        <v/>
      </c>
      <c r="K54" s="353">
        <f>SUM(K50:K53)</f>
        <v/>
      </c>
      <c r="L54" s="353">
        <f>SUM(L50:L53)</f>
        <v/>
      </c>
      <c r="M54" s="353">
        <f>SUM(M50:M53)</f>
        <v/>
      </c>
      <c r="N54" s="353">
        <f>SUM(N50:N53)</f>
        <v/>
      </c>
      <c r="O54" s="353">
        <f>SUM(O50:O53)</f>
        <v/>
      </c>
      <c r="P54" s="353">
        <f>SUM(P50:P53)</f>
        <v/>
      </c>
      <c r="Q54" s="353">
        <f>SUM(Q50:Q53)</f>
        <v/>
      </c>
      <c r="R54" s="353">
        <f>SUM(R50:R53)</f>
        <v/>
      </c>
      <c r="S54" s="353">
        <f>SUM(S50:S53)</f>
        <v/>
      </c>
      <c r="T54" s="353">
        <f>SUM(T50:T53)</f>
        <v/>
      </c>
      <c r="U54" s="353">
        <f>SUM(U50:U53)</f>
        <v/>
      </c>
      <c r="V54" s="353">
        <f>SUM(V50:V53)</f>
        <v/>
      </c>
      <c r="W54" s="353">
        <f>SUM(W50:W53)</f>
        <v/>
      </c>
      <c r="X54" s="353">
        <f>SUM(X50:X53)</f>
        <v/>
      </c>
      <c r="Y54" s="353">
        <f>SUM(Y50:Y53)</f>
        <v/>
      </c>
      <c r="Z54" s="353">
        <f>SUM(Z50:Z53)</f>
        <v/>
      </c>
      <c r="AA54" s="353">
        <f>SUM(AA50:AA53)</f>
        <v/>
      </c>
      <c r="AB54" s="353">
        <f>SUM(AB50:AB53)</f>
        <v/>
      </c>
      <c r="AC54" s="353">
        <f>SUM(AC50:AC53)</f>
        <v/>
      </c>
      <c r="AD54" s="353">
        <f>SUM(AD50:AD53)</f>
        <v/>
      </c>
      <c r="AE54" s="353">
        <f>SUM(AE50:AE53)</f>
        <v/>
      </c>
      <c r="AF54" s="353">
        <f>SUM(AF50:AF53)</f>
        <v/>
      </c>
      <c r="AG54" s="353">
        <f>SUM(AG50:AG53)</f>
        <v/>
      </c>
      <c r="AH54" s="353">
        <f>SUM(AH50:AH53)</f>
        <v/>
      </c>
      <c r="AI54" s="353">
        <f>SUM(AI50:AI53)</f>
        <v/>
      </c>
      <c r="AJ54" s="353">
        <f>SUM(AJ50:AJ53)</f>
        <v/>
      </c>
    </row>
    <row r="55" ht="13.7" customHeight="1" s="276">
      <c r="A55" s="285" t="inlineStr">
        <is>
          <t>Total Despesas</t>
        </is>
      </c>
      <c r="B55" s="257" t="n"/>
      <c r="C55" s="257" t="n"/>
      <c r="D55" s="255" t="n"/>
      <c r="E55" s="355">
        <f>E54+E49</f>
        <v/>
      </c>
      <c r="F55" s="355">
        <f>F54+F49</f>
        <v/>
      </c>
      <c r="G55" s="355">
        <f>G54+G49</f>
        <v/>
      </c>
      <c r="H55" s="355">
        <f>H54+H49</f>
        <v/>
      </c>
      <c r="I55" s="355">
        <f>I54+I49</f>
        <v/>
      </c>
      <c r="J55" s="355">
        <f>J54+J49</f>
        <v/>
      </c>
      <c r="K55" s="355">
        <f>K54+K49</f>
        <v/>
      </c>
      <c r="L55" s="355">
        <f>L54+L49</f>
        <v/>
      </c>
      <c r="M55" s="355">
        <f>M54+M49</f>
        <v/>
      </c>
      <c r="N55" s="355">
        <f>N54+N49</f>
        <v/>
      </c>
      <c r="O55" s="355">
        <f>O54+O49</f>
        <v/>
      </c>
      <c r="P55" s="355">
        <f>P54+P49</f>
        <v/>
      </c>
      <c r="Q55" s="355">
        <f>Q54+Q49</f>
        <v/>
      </c>
      <c r="R55" s="355">
        <f>R54+R49</f>
        <v/>
      </c>
      <c r="S55" s="355">
        <f>S54+S49</f>
        <v/>
      </c>
      <c r="T55" s="355">
        <f>T54+T49</f>
        <v/>
      </c>
      <c r="U55" s="355">
        <f>U54+U49</f>
        <v/>
      </c>
      <c r="V55" s="355">
        <f>V54+V49</f>
        <v/>
      </c>
      <c r="W55" s="355">
        <f>W54+W49</f>
        <v/>
      </c>
      <c r="X55" s="355">
        <f>X54+X49</f>
        <v/>
      </c>
      <c r="Y55" s="355">
        <f>Y54+Y49</f>
        <v/>
      </c>
      <c r="Z55" s="355">
        <f>Z54+Z49</f>
        <v/>
      </c>
      <c r="AA55" s="355">
        <f>AA54+AA49</f>
        <v/>
      </c>
      <c r="AB55" s="355">
        <f>AB54+AB49</f>
        <v/>
      </c>
      <c r="AC55" s="355">
        <f>AC54+AC49</f>
        <v/>
      </c>
      <c r="AD55" s="355">
        <f>AD54+AD49</f>
        <v/>
      </c>
      <c r="AE55" s="355">
        <f>AE54+AE49</f>
        <v/>
      </c>
      <c r="AF55" s="355">
        <f>AF54+AF49</f>
        <v/>
      </c>
      <c r="AG55" s="355">
        <f>AG54+AG49</f>
        <v/>
      </c>
      <c r="AH55" s="355">
        <f>AH54+AH49</f>
        <v/>
      </c>
      <c r="AI55" s="355">
        <f>AI54+AI49</f>
        <v/>
      </c>
      <c r="AJ55" s="355">
        <f>AJ54+AJ49</f>
        <v/>
      </c>
    </row>
    <row r="56" ht="13.7" customHeight="1" s="276">
      <c r="A56" s="356" t="inlineStr">
        <is>
          <t>Saldos</t>
        </is>
      </c>
      <c r="B56" s="257" t="n"/>
      <c r="C56" s="255" t="n"/>
      <c r="D56" s="57">
        <f>H67</f>
        <v/>
      </c>
      <c r="E56" s="57">
        <f>D56+E2-E55</f>
        <v/>
      </c>
      <c r="F56" s="57">
        <f>E56+F2-F55</f>
        <v/>
      </c>
      <c r="G56" s="57">
        <f>F56+G2-G55</f>
        <v/>
      </c>
      <c r="H56" s="57">
        <f>G56+H2-H55</f>
        <v/>
      </c>
      <c r="I56" s="57">
        <f>H56+I2-I55</f>
        <v/>
      </c>
      <c r="J56" s="57">
        <f>I56+J2-J55</f>
        <v/>
      </c>
      <c r="K56" s="57">
        <f>J56+K2-K55</f>
        <v/>
      </c>
      <c r="L56" s="57">
        <f>K56+L2-L55</f>
        <v/>
      </c>
      <c r="M56" s="57">
        <f>L56+M2-M55</f>
        <v/>
      </c>
      <c r="N56" s="57">
        <f>M56+N2-N55</f>
        <v/>
      </c>
      <c r="O56" s="57">
        <f>N56+O2-O55</f>
        <v/>
      </c>
      <c r="P56" s="57">
        <f>O56+P2-P55</f>
        <v/>
      </c>
      <c r="Q56" s="57">
        <f>P56+Q2-Q55</f>
        <v/>
      </c>
      <c r="R56" s="57">
        <f>Q56+R2-R55</f>
        <v/>
      </c>
      <c r="S56" s="57">
        <f>R56+S2-S55</f>
        <v/>
      </c>
      <c r="T56" s="57">
        <f>S56+T2-T55</f>
        <v/>
      </c>
      <c r="U56" s="57">
        <f>T56+U2-U55</f>
        <v/>
      </c>
      <c r="V56" s="57">
        <f>U56+V2-V55</f>
        <v/>
      </c>
      <c r="W56" s="57">
        <f>V56+W2-W55</f>
        <v/>
      </c>
      <c r="X56" s="57">
        <f>W56+X2-X55</f>
        <v/>
      </c>
      <c r="Y56" s="57">
        <f>X56+Y2-Y55</f>
        <v/>
      </c>
      <c r="Z56" s="57">
        <f>Y56+Z2-Z55</f>
        <v/>
      </c>
      <c r="AA56" s="57">
        <f>Z56+AA2-AA55</f>
        <v/>
      </c>
      <c r="AB56" s="57">
        <f>AA56+AB2-AB55</f>
        <v/>
      </c>
      <c r="AC56" s="57">
        <f>AB56+AC2-AC55</f>
        <v/>
      </c>
      <c r="AD56" s="57">
        <f>AC56+AD2-AD55</f>
        <v/>
      </c>
      <c r="AE56" s="57">
        <f>AD56+AE2-AE55</f>
        <v/>
      </c>
      <c r="AF56" s="57">
        <f>AE56+AF2-AF55</f>
        <v/>
      </c>
      <c r="AG56" s="57">
        <f>AF56+AG2-AG55</f>
        <v/>
      </c>
      <c r="AH56" s="57">
        <f>AG56+AH2-AH55</f>
        <v/>
      </c>
      <c r="AI56" s="57">
        <f>AH56+AI2-AI55</f>
        <v/>
      </c>
      <c r="AJ56" s="58">
        <f>D56+AJ2-D2-AJ55</f>
        <v/>
      </c>
    </row>
    <row r="57" ht="13.35" customHeight="1" s="276">
      <c r="B57" s="60" t="n"/>
      <c r="C57" s="357" t="n"/>
      <c r="D57" s="357" t="n"/>
      <c r="E57" s="358" t="n"/>
      <c r="F57" s="358" t="n"/>
      <c r="G57" s="358" t="n"/>
      <c r="H57" s="358" t="n"/>
      <c r="I57" s="358" t="n"/>
      <c r="J57" s="358" t="n"/>
      <c r="K57" s="358" t="n"/>
      <c r="L57" s="358" t="n"/>
      <c r="M57" s="358" t="n"/>
      <c r="N57" s="358" t="n"/>
      <c r="O57" s="358" t="n"/>
      <c r="P57" s="358" t="n"/>
      <c r="Q57" s="358" t="n"/>
      <c r="R57" s="358" t="n"/>
      <c r="S57" s="358" t="n"/>
      <c r="T57" s="358" t="n"/>
      <c r="U57" s="358" t="n"/>
      <c r="V57" s="358" t="n"/>
      <c r="W57" s="358" t="n"/>
      <c r="X57" s="358" t="n"/>
      <c r="Y57" s="358" t="n"/>
      <c r="Z57" s="358" t="n"/>
      <c r="AA57" s="358" t="n"/>
      <c r="AB57" s="358" t="n"/>
      <c r="AC57" s="358" t="n"/>
      <c r="AD57" s="358" t="n"/>
      <c r="AE57" s="358" t="n"/>
      <c r="AF57" s="358" t="n"/>
      <c r="AG57" s="358" t="n"/>
      <c r="AH57" s="358" t="n"/>
      <c r="AI57" s="358" t="n"/>
      <c r="AJ57" s="358" t="n"/>
      <c r="AK57" s="358" t="n"/>
      <c r="AL57" s="358" t="n"/>
      <c r="AM57" s="358" t="n"/>
      <c r="AN57" s="358" t="n"/>
      <c r="AO57" s="358" t="n"/>
      <c r="AP57" s="358" t="n"/>
      <c r="AQ57" s="358" t="n"/>
      <c r="AR57" s="358" t="n"/>
      <c r="AS57" s="358" t="n"/>
      <c r="AT57" s="358" t="n"/>
      <c r="AU57" s="358" t="n"/>
      <c r="AV57" s="358" t="n"/>
      <c r="AW57" s="358" t="n"/>
      <c r="AX57" s="358" t="n"/>
      <c r="AY57" s="358" t="n"/>
      <c r="AZ57" s="358" t="n"/>
      <c r="BA57" s="358" t="n"/>
      <c r="BB57" s="358" t="n"/>
      <c r="BC57" s="358" t="n"/>
      <c r="BD57" s="358" t="n"/>
      <c r="BE57" s="358" t="n"/>
      <c r="BF57" s="358" t="n"/>
      <c r="BG57" s="358" t="n"/>
      <c r="BH57" s="358" t="n"/>
      <c r="BI57" s="358" t="n"/>
      <c r="BJ57" s="358" t="n"/>
      <c r="BK57" s="358" t="n"/>
      <c r="BL57" s="358" t="n"/>
      <c r="BM57" s="358" t="n"/>
      <c r="BN57" s="358" t="n"/>
      <c r="BO57" s="358" t="n"/>
      <c r="BP57" s="358" t="n"/>
      <c r="BQ57" s="358" t="n"/>
      <c r="BR57" s="358" t="n"/>
      <c r="BS57" s="358" t="n"/>
      <c r="BT57" s="358" t="n"/>
      <c r="BU57" s="358" t="n"/>
      <c r="BV57" s="358" t="n"/>
      <c r="BW57" s="358" t="n"/>
      <c r="BX57" s="358" t="n"/>
      <c r="BY57" s="358" t="n"/>
      <c r="BZ57" s="358" t="n"/>
      <c r="CA57" s="358" t="n"/>
      <c r="CB57" s="358" t="n"/>
      <c r="CC57" s="358" t="n"/>
      <c r="CD57" s="358" t="n"/>
      <c r="CE57" s="358" t="n"/>
      <c r="CF57" s="358" t="n"/>
      <c r="CG57" s="358" t="n"/>
      <c r="CH57" s="358" t="n"/>
      <c r="CI57" s="358" t="n"/>
      <c r="CJ57" s="358" t="n"/>
      <c r="CK57" s="358" t="n"/>
      <c r="CL57" s="358" t="n"/>
      <c r="CM57" s="358" t="n"/>
      <c r="CN57" s="358" t="n"/>
      <c r="CO57" s="358" t="n"/>
      <c r="CP57" s="358" t="n"/>
      <c r="CQ57" s="358" t="n"/>
      <c r="CR57" s="358" t="n"/>
      <c r="CS57" s="358" t="n"/>
      <c r="CT57" s="358" t="n"/>
      <c r="CU57" s="358" t="n"/>
      <c r="CV57" s="358" t="n"/>
      <c r="CW57" s="358" t="n"/>
      <c r="CX57" s="358" t="n"/>
      <c r="CY57" s="358" t="n"/>
      <c r="CZ57" s="358" t="n"/>
      <c r="DA57" s="358" t="n"/>
      <c r="DB57" s="358" t="n"/>
      <c r="DC57" s="358" t="n"/>
      <c r="DD57" s="358" t="n"/>
      <c r="DE57" s="358" t="n"/>
      <c r="DF57" s="358" t="n"/>
      <c r="DG57" s="358" t="n"/>
      <c r="DH57" s="358" t="n"/>
      <c r="DI57" s="358" t="n"/>
      <c r="DJ57" s="358" t="n"/>
      <c r="DK57" s="358" t="n"/>
      <c r="DL57" s="358" t="n"/>
      <c r="DM57" s="358" t="n"/>
      <c r="DN57" s="358" t="n"/>
      <c r="DO57" s="358" t="n"/>
      <c r="DP57" s="358" t="n"/>
      <c r="DQ57" s="358" t="n"/>
      <c r="DR57" s="358" t="n"/>
      <c r="DS57" s="358" t="n"/>
      <c r="DT57" s="358" t="n"/>
      <c r="DU57" s="358" t="n"/>
      <c r="DV57" s="358" t="n"/>
      <c r="DW57" s="358" t="n"/>
      <c r="DX57" s="358" t="n"/>
      <c r="DY57" s="358" t="n"/>
      <c r="DZ57" s="359" t="n"/>
    </row>
    <row r="58" ht="13.35" customHeight="1" s="276">
      <c r="A58" s="61" t="inlineStr">
        <is>
          <t>N˚</t>
        </is>
      </c>
      <c r="B58" s="62" t="inlineStr">
        <is>
          <t>Rubricas</t>
        </is>
      </c>
      <c r="C58" s="61" t="inlineStr">
        <is>
          <t>Perc.</t>
        </is>
      </c>
      <c r="D58" s="61" t="inlineStr">
        <is>
          <t>Previsto</t>
        </is>
      </c>
      <c r="E58" s="61" t="inlineStr">
        <is>
          <t>Recebido</t>
        </is>
      </c>
      <c r="F58" s="61" t="inlineStr">
        <is>
          <t>A Receber</t>
        </is>
      </c>
      <c r="G58" s="61" t="inlineStr">
        <is>
          <t>Gasto</t>
        </is>
      </c>
      <c r="H58" s="61" t="inlineStr">
        <is>
          <t>Saldo</t>
        </is>
      </c>
      <c r="I58" s="360" t="inlineStr">
        <is>
          <t>A gastar</t>
        </is>
      </c>
      <c r="J58" s="361" t="inlineStr">
        <is>
          <t>Result.</t>
        </is>
      </c>
      <c r="K58" s="362" t="n"/>
      <c r="L58" s="362" t="n"/>
      <c r="M58" s="362" t="n"/>
      <c r="N58" s="362" t="n"/>
      <c r="O58" s="362" t="n"/>
      <c r="P58" s="362" t="n"/>
      <c r="Q58" s="362" t="n"/>
      <c r="R58" s="362" t="n"/>
      <c r="S58" s="362" t="n"/>
      <c r="T58" s="362" t="n"/>
      <c r="U58" s="362" t="n"/>
      <c r="V58" s="362" t="n"/>
      <c r="W58" s="362" t="n"/>
      <c r="X58" s="362" t="n"/>
      <c r="Y58" s="362" t="n"/>
      <c r="Z58" s="362" t="n"/>
      <c r="AA58" s="362" t="n"/>
      <c r="AB58" s="362" t="n"/>
      <c r="AC58" s="362" t="n"/>
      <c r="AD58" s="362" t="n"/>
      <c r="AE58" s="362" t="n"/>
      <c r="AF58" s="362" t="n"/>
      <c r="AG58" s="362" t="n"/>
      <c r="AH58" s="362" t="n"/>
      <c r="AI58" s="362" t="n"/>
      <c r="AJ58" s="362" t="n"/>
      <c r="AK58" s="362" t="n"/>
      <c r="AL58" s="362" t="n"/>
      <c r="AM58" s="362" t="n"/>
      <c r="AN58" s="362" t="n"/>
      <c r="AO58" s="362" t="n"/>
      <c r="AP58" s="362" t="n"/>
      <c r="AQ58" s="362" t="n"/>
      <c r="AR58" s="362" t="n"/>
      <c r="AS58" s="362" t="n"/>
      <c r="AT58" s="362" t="n"/>
      <c r="AU58" s="362" t="n"/>
      <c r="AV58" s="362" t="n"/>
      <c r="AW58" s="362" t="n"/>
      <c r="AX58" s="362" t="n"/>
      <c r="AY58" s="362" t="n"/>
      <c r="AZ58" s="362" t="n"/>
      <c r="BA58" s="362" t="n"/>
      <c r="BB58" s="362" t="n"/>
      <c r="BC58" s="362" t="n"/>
      <c r="BD58" s="362" t="n"/>
      <c r="BE58" s="362" t="n"/>
      <c r="BF58" s="362" t="n"/>
      <c r="BG58" s="362" t="n"/>
      <c r="BH58" s="362" t="n"/>
      <c r="BI58" s="362" t="n"/>
      <c r="BJ58" s="362" t="n"/>
      <c r="BK58" s="362" t="n"/>
      <c r="BL58" s="362" t="n"/>
      <c r="BM58" s="362" t="n"/>
      <c r="BN58" s="362" t="n"/>
      <c r="BO58" s="362" t="n"/>
      <c r="BP58" s="362" t="n"/>
      <c r="BQ58" s="362" t="n"/>
      <c r="BR58" s="362" t="n"/>
      <c r="BS58" s="362" t="n"/>
      <c r="BT58" s="362" t="n"/>
      <c r="BU58" s="362" t="n"/>
      <c r="BV58" s="362" t="n"/>
      <c r="BW58" s="362" t="n"/>
      <c r="BX58" s="362" t="n"/>
      <c r="BY58" s="362" t="n"/>
      <c r="BZ58" s="362" t="n"/>
      <c r="CA58" s="362" t="n"/>
      <c r="CB58" s="362" t="n"/>
      <c r="CC58" s="362" t="n"/>
      <c r="CD58" s="362" t="n"/>
      <c r="CE58" s="362" t="n"/>
      <c r="CF58" s="362" t="n"/>
      <c r="CG58" s="362" t="n"/>
      <c r="CH58" s="362" t="n"/>
      <c r="CI58" s="362" t="n"/>
      <c r="CJ58" s="362" t="n"/>
      <c r="CK58" s="362" t="n"/>
      <c r="CL58" s="362" t="n"/>
      <c r="CM58" s="362" t="n"/>
      <c r="CN58" s="362" t="n"/>
      <c r="CO58" s="362" t="n"/>
      <c r="CP58" s="362" t="n"/>
      <c r="CQ58" s="362" t="n"/>
      <c r="CR58" s="362" t="n"/>
      <c r="CS58" s="362" t="n"/>
      <c r="CT58" s="362" t="n"/>
      <c r="CU58" s="362" t="n"/>
      <c r="CV58" s="362" t="n"/>
      <c r="CW58" s="362" t="n"/>
      <c r="CX58" s="362" t="n"/>
      <c r="CY58" s="362" t="n"/>
      <c r="CZ58" s="362" t="n"/>
      <c r="DA58" s="362" t="n"/>
      <c r="DB58" s="362" t="n"/>
      <c r="DC58" s="362" t="n"/>
      <c r="DD58" s="362" t="n"/>
      <c r="DE58" s="362" t="n"/>
      <c r="DF58" s="362" t="n"/>
      <c r="DG58" s="362" t="n"/>
      <c r="DH58" s="362" t="n"/>
      <c r="DI58" s="362" t="n"/>
      <c r="DJ58" s="362" t="n"/>
      <c r="DK58" s="362" t="n"/>
      <c r="DL58" s="362" t="n"/>
      <c r="DM58" s="362" t="n"/>
      <c r="DN58" s="362" t="n"/>
      <c r="DO58" s="362" t="n"/>
      <c r="DP58" s="362" t="n"/>
      <c r="DQ58" s="362" t="n"/>
      <c r="DR58" s="362" t="n"/>
      <c r="DS58" s="362" t="n"/>
      <c r="DT58" s="362" t="n"/>
      <c r="DU58" s="362" t="n"/>
      <c r="DV58" s="362" t="n"/>
      <c r="DW58" s="362" t="n"/>
      <c r="DX58" s="362" t="n"/>
      <c r="DY58" s="362" t="n"/>
      <c r="DZ58" s="362" t="n"/>
      <c r="EA58" s="362" t="n"/>
      <c r="EB58" s="362" t="n"/>
      <c r="EC58" s="362" t="n"/>
      <c r="ED58" s="362" t="n"/>
      <c r="EE58" s="362" t="n"/>
      <c r="EF58" s="362" t="n"/>
      <c r="EG58" s="362" t="n"/>
      <c r="EH58" s="362" t="n"/>
      <c r="EI58" s="362" t="n"/>
      <c r="EJ58" s="362" t="n"/>
      <c r="EK58" s="362" t="n"/>
      <c r="EL58" s="362" t="n"/>
      <c r="EM58" s="362" t="n"/>
      <c r="EN58" s="362" t="n"/>
      <c r="EO58" s="362" t="n"/>
      <c r="EP58" s="362" t="n"/>
      <c r="EQ58" s="362" t="n"/>
      <c r="ER58" s="362" t="n"/>
      <c r="ES58" s="362" t="n"/>
      <c r="ET58" s="362" t="n"/>
      <c r="EU58" s="362" t="n"/>
      <c r="EV58" s="363" t="n"/>
      <c r="EW58" s="363" t="n"/>
      <c r="EX58" s="363" t="n"/>
    </row>
    <row r="59" ht="13.35" customHeight="1" s="276">
      <c r="A59" s="55" t="n">
        <v>1</v>
      </c>
      <c r="B59" s="254" t="inlineStr">
        <is>
          <t>Aplicação em Fundos</t>
        </is>
      </c>
      <c r="C59" s="63" t="n">
        <v>0</v>
      </c>
      <c r="D59" s="64" t="n">
        <v>0</v>
      </c>
      <c r="E59" s="65" t="n">
        <v>0</v>
      </c>
      <c r="F59" s="66" t="n">
        <v>0</v>
      </c>
      <c r="G59" s="64" t="n">
        <v>0</v>
      </c>
      <c r="H59" s="67" t="n">
        <v>111371.52</v>
      </c>
      <c r="I59" s="68" t="n">
        <v>0</v>
      </c>
      <c r="J59" s="69">
        <f>H59-I59</f>
        <v/>
      </c>
      <c r="K59" s="70" t="n"/>
      <c r="L59" s="70" t="n"/>
      <c r="M59" s="70" t="n"/>
      <c r="N59" s="70" t="n"/>
      <c r="O59" s="70" t="n"/>
      <c r="P59" s="70" t="n"/>
      <c r="Q59" s="70" t="n"/>
      <c r="R59" s="70" t="n"/>
      <c r="S59" s="70" t="n"/>
      <c r="T59" s="70" t="n"/>
      <c r="U59" s="70" t="n"/>
      <c r="V59" s="70" t="n"/>
      <c r="W59" s="70" t="n"/>
      <c r="X59" s="7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  <c r="AJ59" s="70" t="n"/>
      <c r="AK59" s="70" t="n"/>
      <c r="AL59" s="70" t="n"/>
      <c r="AM59" s="70" t="n"/>
      <c r="AN59" s="70" t="n"/>
      <c r="AO59" s="70" t="n"/>
      <c r="AP59" s="70" t="n"/>
      <c r="AQ59" s="70" t="n"/>
      <c r="AR59" s="70" t="n"/>
      <c r="AS59" s="70" t="n"/>
      <c r="AT59" s="70" t="n"/>
      <c r="AU59" s="70" t="n"/>
      <c r="AV59" s="70" t="n"/>
      <c r="AW59" s="70" t="n"/>
      <c r="AX59" s="70" t="n"/>
      <c r="AY59" s="70" t="n"/>
      <c r="AZ59" s="70" t="n"/>
      <c r="BA59" s="70" t="n"/>
      <c r="BB59" s="70" t="n"/>
      <c r="BC59" s="70" t="n"/>
      <c r="BD59" s="70" t="n"/>
      <c r="BE59" s="70" t="n"/>
      <c r="BF59" s="70" t="n"/>
      <c r="BG59" s="70" t="n"/>
      <c r="BH59" s="70" t="n"/>
      <c r="BI59" s="70" t="n"/>
      <c r="BJ59" s="70" t="n"/>
      <c r="BK59" s="70" t="n"/>
      <c r="BL59" s="70" t="n"/>
      <c r="BM59" s="70" t="n"/>
      <c r="BN59" s="70" t="n"/>
      <c r="BO59" s="70" t="n"/>
      <c r="BP59" s="70" t="n"/>
      <c r="BQ59" s="70" t="n"/>
      <c r="BR59" s="70" t="n"/>
      <c r="BS59" s="70" t="n"/>
      <c r="BT59" s="70" t="n"/>
      <c r="BU59" s="70" t="n"/>
      <c r="BV59" s="70" t="n"/>
      <c r="BW59" s="70" t="n"/>
      <c r="BX59" s="70" t="n"/>
      <c r="BY59" s="70" t="n"/>
      <c r="BZ59" s="70" t="n"/>
      <c r="CA59" s="70" t="n"/>
      <c r="CB59" s="70" t="n"/>
      <c r="CC59" s="70" t="n"/>
      <c r="CD59" s="70" t="n"/>
      <c r="CE59" s="70" t="n"/>
      <c r="CF59" s="70" t="n"/>
      <c r="CG59" s="70" t="n"/>
      <c r="CH59" s="70" t="n"/>
      <c r="CI59" s="70" t="n"/>
      <c r="CJ59" s="70" t="n"/>
      <c r="CK59" s="70" t="n"/>
      <c r="CL59" s="70" t="n"/>
      <c r="CM59" s="70" t="n"/>
      <c r="CN59" s="70" t="n"/>
      <c r="CO59" s="70" t="n"/>
      <c r="CP59" s="70" t="n"/>
      <c r="CQ59" s="70" t="n"/>
      <c r="CR59" s="70" t="n"/>
      <c r="CS59" s="70" t="n"/>
      <c r="CT59" s="70" t="n"/>
      <c r="CU59" s="70" t="n"/>
      <c r="CV59" s="70" t="n"/>
      <c r="CW59" s="70" t="n"/>
      <c r="CX59" s="70" t="n"/>
      <c r="CY59" s="70" t="n"/>
      <c r="CZ59" s="70" t="n"/>
      <c r="DA59" s="70" t="n"/>
      <c r="DB59" s="70" t="n"/>
      <c r="DC59" s="70" t="n"/>
      <c r="DD59" s="70" t="n"/>
      <c r="DE59" s="70" t="n"/>
      <c r="DF59" s="70" t="n"/>
      <c r="DG59" s="70" t="n"/>
      <c r="DH59" s="70" t="n"/>
      <c r="DI59" s="70" t="n"/>
      <c r="DJ59" s="70" t="n"/>
      <c r="DK59" s="70" t="n"/>
      <c r="DL59" s="70" t="n"/>
      <c r="DM59" s="70" t="n"/>
      <c r="DN59" s="70" t="n"/>
      <c r="DO59" s="70" t="n"/>
      <c r="DP59" s="70" t="n"/>
      <c r="DQ59" s="70" t="n"/>
      <c r="DR59" s="70" t="n"/>
      <c r="DS59" s="70" t="n"/>
      <c r="DT59" s="70" t="n"/>
      <c r="DU59" s="70" t="n"/>
      <c r="DV59" s="70" t="n"/>
      <c r="DW59" s="70" t="n"/>
      <c r="DX59" s="70" t="n"/>
      <c r="DY59" s="70" t="n"/>
      <c r="DZ59" s="70" t="n"/>
      <c r="EA59" s="70" t="n"/>
      <c r="EB59" s="70" t="n"/>
      <c r="EC59" s="70" t="n"/>
      <c r="ED59" s="70" t="n"/>
      <c r="EE59" s="70" t="n"/>
      <c r="EF59" s="70" t="n"/>
      <c r="EG59" s="70" t="n"/>
      <c r="EH59" s="70" t="n"/>
      <c r="EI59" s="70" t="n"/>
      <c r="EJ59" s="70" t="n"/>
      <c r="EK59" s="70" t="n"/>
      <c r="EL59" s="70" t="n"/>
      <c r="EM59" s="70" t="n"/>
      <c r="EN59" s="70" t="n"/>
      <c r="EO59" s="70" t="n"/>
      <c r="EP59" s="70" t="n"/>
      <c r="EQ59" s="70" t="n"/>
      <c r="ER59" s="70" t="n"/>
      <c r="ES59" s="70" t="n"/>
      <c r="ET59" s="70" t="n"/>
      <c r="EU59" s="70" t="n"/>
      <c r="EV59" s="71" t="n"/>
      <c r="EW59" s="71" t="n"/>
      <c r="EX59" s="71" t="n"/>
    </row>
    <row r="60" ht="13.35" customHeight="1" s="276">
      <c r="A60" s="55">
        <f>A59+1</f>
        <v/>
      </c>
      <c r="B60" s="72" t="inlineStr">
        <is>
          <t>Passagens</t>
        </is>
      </c>
      <c r="C60" s="63">
        <f>D60/59992083</f>
        <v/>
      </c>
      <c r="D60" s="64" t="n">
        <v>1897000</v>
      </c>
      <c r="E60" s="65">
        <f>33902922*C60</f>
        <v/>
      </c>
      <c r="F60" s="66">
        <f>D60-E60</f>
        <v/>
      </c>
      <c r="G60" s="64" t="n">
        <v>0</v>
      </c>
      <c r="H60" s="67">
        <f>E60+G60</f>
        <v/>
      </c>
      <c r="I60" s="68" t="n">
        <v>0</v>
      </c>
      <c r="J60" s="69">
        <f>E60+F60+G60+I60</f>
        <v/>
      </c>
      <c r="K60" s="70" t="n"/>
      <c r="L60" s="73" t="inlineStr">
        <is>
          <t>Resultado</t>
        </is>
      </c>
      <c r="M60" s="73" t="n"/>
      <c r="N60" s="70" t="n"/>
      <c r="O60" s="70" t="n"/>
      <c r="P60" s="70" t="n"/>
      <c r="Q60" s="70" t="n"/>
      <c r="R60" s="70" t="n"/>
      <c r="S60" s="70" t="n"/>
      <c r="T60" s="70" t="n"/>
      <c r="U60" s="70" t="n"/>
      <c r="V60" s="70" t="n"/>
      <c r="W60" s="70" t="n"/>
      <c r="X60" s="70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  <c r="AJ60" s="70" t="n"/>
      <c r="AK60" s="70" t="n"/>
      <c r="AL60" s="70" t="n"/>
      <c r="AM60" s="70" t="n"/>
      <c r="AN60" s="70" t="n"/>
      <c r="AO60" s="70" t="n"/>
      <c r="AP60" s="70" t="n"/>
      <c r="AQ60" s="70" t="n"/>
      <c r="AR60" s="70" t="n"/>
      <c r="AS60" s="70" t="n"/>
      <c r="AT60" s="70" t="n"/>
      <c r="AU60" s="70" t="n"/>
      <c r="AV60" s="70" t="n"/>
      <c r="AW60" s="70" t="n"/>
      <c r="AX60" s="70" t="n"/>
      <c r="AY60" s="70" t="n"/>
      <c r="AZ60" s="70" t="n"/>
      <c r="BA60" s="70" t="n"/>
      <c r="BB60" s="70" t="n"/>
      <c r="BC60" s="70" t="n"/>
      <c r="BD60" s="70" t="n"/>
      <c r="BE60" s="70" t="n"/>
      <c r="BF60" s="70" t="n"/>
      <c r="BG60" s="70" t="n"/>
      <c r="BH60" s="70" t="n"/>
      <c r="BI60" s="70" t="n"/>
      <c r="BJ60" s="70" t="n"/>
      <c r="BK60" s="70" t="n"/>
      <c r="BL60" s="70" t="n"/>
      <c r="BM60" s="70" t="n"/>
      <c r="BN60" s="70" t="n"/>
      <c r="BO60" s="70" t="n"/>
      <c r="BP60" s="70" t="n"/>
      <c r="BQ60" s="70" t="n"/>
      <c r="BR60" s="70" t="n"/>
      <c r="BS60" s="70" t="n"/>
      <c r="BT60" s="70" t="n"/>
      <c r="BU60" s="70" t="n"/>
      <c r="BV60" s="70" t="n"/>
      <c r="BW60" s="70" t="n"/>
      <c r="BX60" s="70" t="n"/>
      <c r="BY60" s="70" t="n"/>
      <c r="BZ60" s="70" t="n"/>
      <c r="CA60" s="70" t="n"/>
      <c r="CB60" s="70" t="n"/>
      <c r="CC60" s="70" t="n"/>
      <c r="CD60" s="70" t="n"/>
      <c r="CE60" s="70" t="n"/>
      <c r="CF60" s="70" t="n"/>
      <c r="CG60" s="70" t="n"/>
      <c r="CH60" s="70" t="n"/>
      <c r="CI60" s="70" t="n"/>
      <c r="CJ60" s="70" t="n"/>
      <c r="CK60" s="70" t="n"/>
      <c r="CL60" s="70" t="n"/>
      <c r="CM60" s="70" t="n"/>
      <c r="CN60" s="70" t="n"/>
      <c r="CO60" s="70" t="n"/>
      <c r="CP60" s="70" t="n"/>
      <c r="CQ60" s="70" t="n"/>
      <c r="CR60" s="70" t="n"/>
      <c r="CS60" s="70" t="n"/>
      <c r="CT60" s="70" t="n"/>
      <c r="CU60" s="70" t="n"/>
      <c r="CV60" s="70" t="n"/>
      <c r="CW60" s="70" t="n"/>
      <c r="CX60" s="70" t="n"/>
      <c r="CY60" s="70" t="n"/>
      <c r="CZ60" s="70" t="n"/>
      <c r="DA60" s="70" t="n"/>
      <c r="DB60" s="70" t="n"/>
      <c r="DC60" s="70" t="n"/>
      <c r="DD60" s="70" t="n"/>
      <c r="DE60" s="70" t="n"/>
      <c r="DF60" s="70" t="n"/>
      <c r="DG60" s="70" t="n"/>
      <c r="DH60" s="70" t="n"/>
      <c r="DI60" s="70" t="n"/>
      <c r="DJ60" s="70" t="n"/>
      <c r="DK60" s="70" t="n"/>
      <c r="DL60" s="70" t="n"/>
      <c r="DM60" s="70" t="n"/>
      <c r="DN60" s="70" t="n"/>
      <c r="DO60" s="70" t="n"/>
      <c r="DP60" s="70" t="n"/>
      <c r="DQ60" s="70" t="n"/>
      <c r="DR60" s="70" t="n"/>
      <c r="DS60" s="70" t="n"/>
      <c r="DT60" s="70" t="n"/>
      <c r="DU60" s="70" t="n"/>
      <c r="DV60" s="70" t="n"/>
      <c r="DW60" s="70" t="n"/>
      <c r="DX60" s="70" t="n"/>
      <c r="DY60" s="70" t="n"/>
      <c r="DZ60" s="70" t="n"/>
      <c r="EA60" s="70" t="n"/>
      <c r="EB60" s="70" t="n"/>
      <c r="EC60" s="70" t="n"/>
      <c r="ED60" s="70" t="n"/>
      <c r="EE60" s="70" t="n"/>
      <c r="EF60" s="70" t="n"/>
      <c r="EG60" s="70" t="n"/>
      <c r="EH60" s="70" t="n"/>
      <c r="EI60" s="70" t="n"/>
      <c r="EJ60" s="70" t="n"/>
      <c r="EK60" s="70" t="n"/>
      <c r="EL60" s="70" t="n"/>
      <c r="EM60" s="70" t="n"/>
      <c r="EN60" s="70" t="n"/>
      <c r="EO60" s="70" t="n"/>
      <c r="EP60" s="70" t="n"/>
      <c r="EQ60" s="70" t="n"/>
      <c r="ER60" s="70" t="n"/>
      <c r="ES60" s="70" t="n"/>
      <c r="ET60" s="70" t="n"/>
      <c r="EU60" s="70" t="n"/>
      <c r="EV60" s="71" t="n"/>
      <c r="EW60" s="71" t="n"/>
      <c r="EX60" s="71" t="n"/>
    </row>
    <row r="61" ht="13.35" customHeight="1" s="276">
      <c r="A61" s="55">
        <f>A60+1</f>
        <v/>
      </c>
      <c r="B61" s="72" t="inlineStr">
        <is>
          <t>Diárias</t>
        </is>
      </c>
      <c r="C61" s="63">
        <f>D61/59992083</f>
        <v/>
      </c>
      <c r="D61" s="64" t="n">
        <v>975600</v>
      </c>
      <c r="E61" s="65">
        <f>33902922*C61</f>
        <v/>
      </c>
      <c r="F61" s="66">
        <f>D61-E61</f>
        <v/>
      </c>
      <c r="G61" s="64" t="n">
        <v>0</v>
      </c>
      <c r="H61" s="67">
        <f>E61+G61</f>
        <v/>
      </c>
      <c r="I61" s="68" t="n">
        <v>0</v>
      </c>
      <c r="J61" s="69">
        <f>E61+F61+G61+I61</f>
        <v/>
      </c>
      <c r="K61" s="70" t="n"/>
      <c r="L61" s="73" t="inlineStr">
        <is>
          <t>Poupança</t>
        </is>
      </c>
      <c r="M61" s="73" t="n"/>
      <c r="N61" s="70" t="n"/>
      <c r="O61" s="70" t="n"/>
      <c r="P61" s="70" t="n"/>
      <c r="Q61" s="70" t="n"/>
      <c r="R61" s="70" t="n"/>
      <c r="S61" s="70" t="n"/>
      <c r="T61" s="70" t="n"/>
      <c r="U61" s="70" t="n"/>
      <c r="V61" s="70" t="n"/>
      <c r="W61" s="70" t="n"/>
      <c r="X61" s="70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  <c r="AJ61" s="70" t="n"/>
      <c r="AK61" s="70" t="n"/>
      <c r="AL61" s="70" t="n"/>
      <c r="AM61" s="70" t="n"/>
      <c r="AN61" s="70" t="n"/>
      <c r="AO61" s="70" t="n"/>
      <c r="AP61" s="70" t="n"/>
      <c r="AQ61" s="70" t="n"/>
      <c r="AR61" s="70" t="n"/>
      <c r="AS61" s="70" t="n"/>
      <c r="AT61" s="70" t="n"/>
      <c r="AU61" s="70" t="n"/>
      <c r="AV61" s="70" t="n"/>
      <c r="AW61" s="70" t="n"/>
      <c r="AX61" s="70" t="n"/>
      <c r="AY61" s="70" t="n"/>
      <c r="AZ61" s="70" t="n"/>
      <c r="BA61" s="70" t="n"/>
      <c r="BB61" s="70" t="n"/>
      <c r="BC61" s="70" t="n"/>
      <c r="BD61" s="70" t="n"/>
      <c r="BE61" s="70" t="n"/>
      <c r="BF61" s="70" t="n"/>
      <c r="BG61" s="70" t="n"/>
      <c r="BH61" s="70" t="n"/>
      <c r="BI61" s="70" t="n"/>
      <c r="BJ61" s="70" t="n"/>
      <c r="BK61" s="70" t="n"/>
      <c r="BL61" s="70" t="n"/>
      <c r="BM61" s="70" t="n"/>
      <c r="BN61" s="70" t="n"/>
      <c r="BO61" s="70" t="n"/>
      <c r="BP61" s="70" t="n"/>
      <c r="BQ61" s="70" t="n"/>
      <c r="BR61" s="70" t="n"/>
      <c r="BS61" s="70" t="n"/>
      <c r="BT61" s="70" t="n"/>
      <c r="BU61" s="70" t="n"/>
      <c r="BV61" s="70" t="n"/>
      <c r="BW61" s="70" t="n"/>
      <c r="BX61" s="70" t="n"/>
      <c r="BY61" s="70" t="n"/>
      <c r="BZ61" s="70" t="n"/>
      <c r="CA61" s="70" t="n"/>
      <c r="CB61" s="70" t="n"/>
      <c r="CC61" s="70" t="n"/>
      <c r="CD61" s="70" t="n"/>
      <c r="CE61" s="70" t="n"/>
      <c r="CF61" s="70" t="n"/>
      <c r="CG61" s="70" t="n"/>
      <c r="CH61" s="70" t="n"/>
      <c r="CI61" s="70" t="n"/>
      <c r="CJ61" s="70" t="n"/>
      <c r="CK61" s="70" t="n"/>
      <c r="CL61" s="70" t="n"/>
      <c r="CM61" s="70" t="n"/>
      <c r="CN61" s="70" t="n"/>
      <c r="CO61" s="70" t="n"/>
      <c r="CP61" s="70" t="n"/>
      <c r="CQ61" s="70" t="n"/>
      <c r="CR61" s="70" t="n"/>
      <c r="CS61" s="70" t="n"/>
      <c r="CT61" s="70" t="n"/>
      <c r="CU61" s="70" t="n"/>
      <c r="CV61" s="70" t="n"/>
      <c r="CW61" s="70" t="n"/>
      <c r="CX61" s="70" t="n"/>
      <c r="CY61" s="70" t="n"/>
      <c r="CZ61" s="70" t="n"/>
      <c r="DA61" s="70" t="n"/>
      <c r="DB61" s="70" t="n"/>
      <c r="DC61" s="70" t="n"/>
      <c r="DD61" s="70" t="n"/>
      <c r="DE61" s="70" t="n"/>
      <c r="DF61" s="70" t="n"/>
      <c r="DG61" s="70" t="n"/>
      <c r="DH61" s="70" t="n"/>
      <c r="DI61" s="70" t="n"/>
      <c r="DJ61" s="70" t="n"/>
      <c r="DK61" s="70" t="n"/>
      <c r="DL61" s="70" t="n"/>
      <c r="DM61" s="70" t="n"/>
      <c r="DN61" s="70" t="n"/>
      <c r="DO61" s="70" t="n"/>
      <c r="DP61" s="70" t="n"/>
      <c r="DQ61" s="70" t="n"/>
      <c r="DR61" s="70" t="n"/>
      <c r="DS61" s="70" t="n"/>
      <c r="DT61" s="70" t="n"/>
      <c r="DU61" s="70" t="n"/>
      <c r="DV61" s="70" t="n"/>
      <c r="DW61" s="70" t="n"/>
      <c r="DX61" s="70" t="n"/>
      <c r="DY61" s="70" t="n"/>
      <c r="DZ61" s="70" t="n"/>
      <c r="EA61" s="70" t="n"/>
      <c r="EB61" s="70" t="n"/>
      <c r="EC61" s="70" t="n"/>
      <c r="ED61" s="70" t="n"/>
      <c r="EE61" s="70" t="n"/>
      <c r="EF61" s="70" t="n"/>
      <c r="EG61" s="70" t="n"/>
      <c r="EH61" s="70" t="n"/>
      <c r="EI61" s="70" t="n"/>
      <c r="EJ61" s="70" t="n"/>
      <c r="EK61" s="70" t="n"/>
      <c r="EL61" s="70" t="n"/>
      <c r="EM61" s="70" t="n"/>
      <c r="EN61" s="70" t="n"/>
      <c r="EO61" s="70" t="n"/>
      <c r="EP61" s="70" t="n"/>
      <c r="EQ61" s="70" t="n"/>
      <c r="ER61" s="70" t="n"/>
      <c r="ES61" s="70" t="n"/>
      <c r="ET61" s="70" t="n"/>
      <c r="EU61" s="70" t="n"/>
      <c r="EV61" s="71" t="n"/>
      <c r="EW61" s="71" t="n"/>
      <c r="EX61" s="71" t="n"/>
    </row>
    <row r="62" ht="13.35" customHeight="1" s="276">
      <c r="A62" s="55">
        <f>A61+1</f>
        <v/>
      </c>
      <c r="B62" s="72" t="inlineStr">
        <is>
          <t>Material de Consumo</t>
        </is>
      </c>
      <c r="C62" s="63">
        <f>D62/59992083</f>
        <v/>
      </c>
      <c r="D62" s="64" t="n">
        <v>390000</v>
      </c>
      <c r="E62" s="65">
        <f>33902922*C62</f>
        <v/>
      </c>
      <c r="F62" s="66">
        <f>D62-E62</f>
        <v/>
      </c>
      <c r="G62" s="64" t="n">
        <v>0</v>
      </c>
      <c r="H62" s="67">
        <f>E62+G62</f>
        <v/>
      </c>
      <c r="I62" s="68" t="n">
        <v>0</v>
      </c>
      <c r="J62" s="69">
        <f>E62+F62+G62+I62</f>
        <v/>
      </c>
      <c r="K62" s="70" t="n"/>
      <c r="L62" s="58" t="inlineStr">
        <is>
          <t>Previsto</t>
        </is>
      </c>
      <c r="M62" s="58" t="n"/>
      <c r="N62" s="70" t="n"/>
      <c r="O62" s="70" t="n"/>
      <c r="P62" s="70" t="n"/>
      <c r="Q62" s="70" t="n"/>
      <c r="R62" s="70" t="n"/>
      <c r="S62" s="70" t="n"/>
      <c r="T62" s="70" t="n"/>
      <c r="U62" s="70" t="n"/>
      <c r="V62" s="70" t="n"/>
      <c r="W62" s="70" t="n"/>
      <c r="X62" s="70" t="n"/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  <c r="AJ62" s="70" t="n"/>
      <c r="AK62" s="70" t="n"/>
      <c r="AL62" s="70" t="n"/>
      <c r="AM62" s="70" t="n"/>
      <c r="AN62" s="70" t="n"/>
      <c r="AO62" s="70" t="n"/>
      <c r="AP62" s="70" t="n"/>
      <c r="AQ62" s="70" t="n"/>
      <c r="AR62" s="70" t="n"/>
      <c r="AS62" s="70" t="n"/>
      <c r="AT62" s="70" t="n"/>
      <c r="AU62" s="70" t="n"/>
      <c r="AV62" s="70" t="n"/>
      <c r="AW62" s="70" t="n"/>
      <c r="AX62" s="70" t="n"/>
      <c r="AY62" s="70" t="n"/>
      <c r="AZ62" s="70" t="n"/>
      <c r="BA62" s="70" t="n"/>
      <c r="BB62" s="70" t="n"/>
      <c r="BC62" s="70" t="n"/>
      <c r="BD62" s="70" t="n"/>
      <c r="BE62" s="70" t="n"/>
      <c r="BF62" s="70" t="n"/>
      <c r="BG62" s="70" t="n"/>
      <c r="BH62" s="70" t="n"/>
      <c r="BI62" s="70" t="n"/>
      <c r="BJ62" s="70" t="n"/>
      <c r="BK62" s="70" t="n"/>
      <c r="BL62" s="70" t="n"/>
      <c r="BM62" s="70" t="n"/>
      <c r="BN62" s="70" t="n"/>
      <c r="BO62" s="70" t="n"/>
      <c r="BP62" s="70" t="n"/>
      <c r="BQ62" s="70" t="n"/>
      <c r="BR62" s="70" t="n"/>
      <c r="BS62" s="70" t="n"/>
      <c r="BT62" s="70" t="n"/>
      <c r="BU62" s="70" t="n"/>
      <c r="BV62" s="70" t="n"/>
      <c r="BW62" s="70" t="n"/>
      <c r="BX62" s="70" t="n"/>
      <c r="BY62" s="70" t="n"/>
      <c r="BZ62" s="70" t="n"/>
      <c r="CA62" s="70" t="n"/>
      <c r="CB62" s="70" t="n"/>
      <c r="CC62" s="70" t="n"/>
      <c r="CD62" s="70" t="n"/>
      <c r="CE62" s="70" t="n"/>
      <c r="CF62" s="70" t="n"/>
      <c r="CG62" s="70" t="n"/>
      <c r="CH62" s="70" t="n"/>
      <c r="CI62" s="70" t="n"/>
      <c r="CJ62" s="70" t="n"/>
      <c r="CK62" s="70" t="n"/>
      <c r="CL62" s="70" t="n"/>
      <c r="CM62" s="70" t="n"/>
      <c r="CN62" s="70" t="n"/>
      <c r="CO62" s="70" t="n"/>
      <c r="CP62" s="70" t="n"/>
      <c r="CQ62" s="70" t="n"/>
      <c r="CR62" s="70" t="n"/>
      <c r="CS62" s="70" t="n"/>
      <c r="CT62" s="70" t="n"/>
      <c r="CU62" s="70" t="n"/>
      <c r="CV62" s="70" t="n"/>
      <c r="CW62" s="70" t="n"/>
      <c r="CX62" s="70" t="n"/>
      <c r="CY62" s="70" t="n"/>
      <c r="CZ62" s="70" t="n"/>
      <c r="DA62" s="70" t="n"/>
      <c r="DB62" s="70" t="n"/>
      <c r="DC62" s="70" t="n"/>
      <c r="DD62" s="70" t="n"/>
      <c r="DE62" s="70" t="n"/>
      <c r="DF62" s="70" t="n"/>
      <c r="DG62" s="70" t="n"/>
      <c r="DH62" s="70" t="n"/>
      <c r="DI62" s="70" t="n"/>
      <c r="DJ62" s="70" t="n"/>
      <c r="DK62" s="70" t="n"/>
      <c r="DL62" s="70" t="n"/>
      <c r="DM62" s="70" t="n"/>
      <c r="DN62" s="70" t="n"/>
      <c r="DO62" s="70" t="n"/>
      <c r="DP62" s="70" t="n"/>
      <c r="DQ62" s="70" t="n"/>
      <c r="DR62" s="70" t="n"/>
      <c r="DS62" s="70" t="n"/>
      <c r="DT62" s="70" t="n"/>
      <c r="DU62" s="70" t="n"/>
      <c r="DV62" s="70" t="n"/>
      <c r="DW62" s="70" t="n"/>
      <c r="DX62" s="70" t="n"/>
      <c r="DY62" s="70" t="n"/>
      <c r="DZ62" s="70" t="n"/>
      <c r="EA62" s="70" t="n"/>
      <c r="EB62" s="70" t="n"/>
      <c r="EC62" s="70" t="n"/>
      <c r="ED62" s="70" t="n"/>
      <c r="EE62" s="70" t="n"/>
      <c r="EF62" s="70" t="n"/>
      <c r="EG62" s="70" t="n"/>
      <c r="EH62" s="70" t="n"/>
      <c r="EI62" s="70" t="n"/>
      <c r="EJ62" s="70" t="n"/>
      <c r="EK62" s="70" t="n"/>
      <c r="EL62" s="70" t="n"/>
      <c r="EM62" s="70" t="n"/>
      <c r="EN62" s="70" t="n"/>
      <c r="EO62" s="70" t="n"/>
      <c r="EP62" s="70" t="n"/>
      <c r="EQ62" s="70" t="n"/>
      <c r="ER62" s="70" t="n"/>
      <c r="ES62" s="70" t="n"/>
      <c r="ET62" s="70" t="n"/>
      <c r="EU62" s="70" t="n"/>
      <c r="EV62" s="71" t="n"/>
      <c r="EW62" s="71" t="n"/>
      <c r="EX62" s="71" t="n"/>
    </row>
    <row r="63" ht="13.35" customHeight="1" s="276">
      <c r="A63" s="55">
        <f>A62+1</f>
        <v/>
      </c>
      <c r="B63" s="72" t="inlineStr">
        <is>
          <t>Equipe Técnica</t>
        </is>
      </c>
      <c r="C63" s="63">
        <f>D63/59992083</f>
        <v/>
      </c>
      <c r="D63" s="64" t="n">
        <v>45126512.76</v>
      </c>
      <c r="E63" s="65">
        <f>33902922*C63</f>
        <v/>
      </c>
      <c r="F63" s="66">
        <f>D63-E63</f>
        <v/>
      </c>
      <c r="G63" s="64" t="n">
        <v>0</v>
      </c>
      <c r="H63" s="67">
        <f>E63+G63</f>
        <v/>
      </c>
      <c r="I63" s="68" t="n">
        <v>0</v>
      </c>
      <c r="J63" s="69">
        <f>E63+F63+G63+I63</f>
        <v/>
      </c>
      <c r="K63" s="70" t="n"/>
      <c r="N63" s="70" t="n"/>
      <c r="O63" s="70" t="n"/>
      <c r="P63" s="70" t="n"/>
      <c r="Q63" s="70" t="n"/>
      <c r="R63" s="70" t="n"/>
      <c r="S63" s="70" t="n"/>
      <c r="T63" s="70" t="n"/>
      <c r="U63" s="70" t="n"/>
      <c r="V63" s="70" t="n"/>
      <c r="W63" s="70" t="n"/>
      <c r="X63" s="70" t="n"/>
      <c r="Y63" s="70" t="n"/>
      <c r="Z63" s="70" t="n"/>
      <c r="AA63" s="70" t="n"/>
      <c r="AB63" s="70" t="n"/>
      <c r="AC63" s="70" t="n"/>
      <c r="AD63" s="70" t="n"/>
      <c r="AE63" s="70" t="n"/>
      <c r="AF63" s="70" t="n"/>
      <c r="AG63" s="70" t="n"/>
      <c r="AH63" s="70" t="n"/>
      <c r="AI63" s="70" t="n"/>
      <c r="AJ63" s="70" t="n"/>
      <c r="AK63" s="70" t="n"/>
      <c r="AL63" s="70" t="n"/>
      <c r="AM63" s="70" t="n"/>
      <c r="AN63" s="70" t="n"/>
      <c r="AO63" s="70" t="n"/>
      <c r="AP63" s="70" t="n"/>
      <c r="AQ63" s="70" t="n"/>
      <c r="AR63" s="70" t="n"/>
      <c r="AS63" s="70" t="n"/>
      <c r="AT63" s="70" t="n"/>
      <c r="AU63" s="70" t="n"/>
      <c r="AV63" s="70" t="n"/>
      <c r="AW63" s="70" t="n"/>
      <c r="AX63" s="70" t="n"/>
      <c r="AY63" s="70" t="n"/>
      <c r="AZ63" s="70" t="n"/>
      <c r="BA63" s="70" t="n"/>
      <c r="BB63" s="70" t="n"/>
      <c r="BC63" s="70" t="n"/>
      <c r="BD63" s="70" t="n"/>
      <c r="BE63" s="70" t="n"/>
      <c r="BF63" s="70" t="n"/>
      <c r="BG63" s="70" t="n"/>
      <c r="BH63" s="70" t="n"/>
      <c r="BI63" s="70" t="n"/>
      <c r="BJ63" s="70" t="n"/>
      <c r="BK63" s="70" t="n"/>
      <c r="BL63" s="70" t="n"/>
      <c r="BM63" s="70" t="n"/>
      <c r="BN63" s="70" t="n"/>
      <c r="BO63" s="70" t="n"/>
      <c r="BP63" s="70" t="n"/>
      <c r="BQ63" s="70" t="n"/>
      <c r="BR63" s="70" t="n"/>
      <c r="BS63" s="70" t="n"/>
      <c r="BT63" s="70" t="n"/>
      <c r="BU63" s="70" t="n"/>
      <c r="BV63" s="70" t="n"/>
      <c r="BW63" s="70" t="n"/>
      <c r="BX63" s="70" t="n"/>
      <c r="BY63" s="70" t="n"/>
      <c r="BZ63" s="70" t="n"/>
      <c r="CA63" s="70" t="n"/>
      <c r="CB63" s="70" t="n"/>
      <c r="CC63" s="70" t="n"/>
      <c r="CD63" s="70" t="n"/>
      <c r="CE63" s="70" t="n"/>
      <c r="CF63" s="70" t="n"/>
      <c r="CG63" s="70" t="n"/>
      <c r="CH63" s="70" t="n"/>
      <c r="CI63" s="70" t="n"/>
      <c r="CJ63" s="70" t="n"/>
      <c r="CK63" s="70" t="n"/>
      <c r="CL63" s="70" t="n"/>
      <c r="CM63" s="70" t="n"/>
      <c r="CN63" s="70" t="n"/>
      <c r="CO63" s="70" t="n"/>
      <c r="CP63" s="70" t="n"/>
      <c r="CQ63" s="70" t="n"/>
      <c r="CR63" s="70" t="n"/>
      <c r="CS63" s="70" t="n"/>
      <c r="CT63" s="70" t="n"/>
      <c r="CU63" s="70" t="n"/>
      <c r="CV63" s="70" t="n"/>
      <c r="CW63" s="70" t="n"/>
      <c r="CX63" s="70" t="n"/>
      <c r="CY63" s="70" t="n"/>
      <c r="CZ63" s="70" t="n"/>
      <c r="DA63" s="70" t="n"/>
      <c r="DB63" s="70" t="n"/>
      <c r="DC63" s="70" t="n"/>
      <c r="DD63" s="70" t="n"/>
      <c r="DE63" s="70" t="n"/>
      <c r="DF63" s="70" t="n"/>
      <c r="DG63" s="70" t="n"/>
      <c r="DH63" s="70" t="n"/>
      <c r="DI63" s="70" t="n"/>
      <c r="DJ63" s="70" t="n"/>
      <c r="DK63" s="70" t="n"/>
      <c r="DL63" s="70" t="n"/>
      <c r="DM63" s="70" t="n"/>
      <c r="DN63" s="70" t="n"/>
      <c r="DO63" s="70" t="n"/>
      <c r="DP63" s="70" t="n"/>
      <c r="DQ63" s="70" t="n"/>
      <c r="DR63" s="70" t="n"/>
      <c r="DS63" s="70" t="n"/>
      <c r="DT63" s="70" t="n"/>
      <c r="DU63" s="70" t="n"/>
      <c r="DV63" s="70" t="n"/>
      <c r="DW63" s="70" t="n"/>
      <c r="DX63" s="70" t="n"/>
      <c r="DY63" s="70" t="n"/>
      <c r="DZ63" s="70" t="n"/>
      <c r="EA63" s="70" t="n"/>
      <c r="EB63" s="70" t="n"/>
      <c r="EC63" s="70" t="n"/>
      <c r="ED63" s="70" t="n"/>
      <c r="EE63" s="70" t="n"/>
      <c r="EF63" s="70" t="n"/>
      <c r="EG63" s="70" t="n"/>
      <c r="EH63" s="70" t="n"/>
      <c r="EI63" s="70" t="n"/>
      <c r="EJ63" s="70" t="n"/>
      <c r="EK63" s="70" t="n"/>
      <c r="EL63" s="70" t="n"/>
      <c r="EM63" s="70" t="n"/>
      <c r="EN63" s="70" t="n"/>
      <c r="EO63" s="70" t="n"/>
      <c r="EP63" s="70" t="n"/>
      <c r="EQ63" s="70" t="n"/>
      <c r="ER63" s="70" t="n"/>
      <c r="ES63" s="70" t="n"/>
      <c r="ET63" s="70" t="n"/>
      <c r="EU63" s="70" t="n"/>
      <c r="EV63" s="71" t="n"/>
      <c r="EW63" s="71" t="n"/>
      <c r="EX63" s="71" t="n"/>
    </row>
    <row r="64" ht="13.35" customHeight="1" s="276">
      <c r="A64" s="55">
        <f>A63+1</f>
        <v/>
      </c>
      <c r="B64" s="72" t="inlineStr">
        <is>
          <t>Serviço de Terceiros</t>
        </is>
      </c>
      <c r="C64" s="63">
        <f>D64/59992083</f>
        <v/>
      </c>
      <c r="D64" s="64" t="n">
        <v>2874122.16</v>
      </c>
      <c r="E64" s="65">
        <f>33902922*C64</f>
        <v/>
      </c>
      <c r="F64" s="66">
        <f>D64-E64</f>
        <v/>
      </c>
      <c r="G64" s="64" t="n">
        <v>0</v>
      </c>
      <c r="H64" s="67">
        <f>E64+G64</f>
        <v/>
      </c>
      <c r="I64" s="68" t="n">
        <v>0</v>
      </c>
      <c r="J64" s="69">
        <f>E64+F64+G64+I64</f>
        <v/>
      </c>
      <c r="K64" s="70" t="n"/>
      <c r="L64" s="74" t="inlineStr">
        <is>
          <t>Inicio</t>
        </is>
      </c>
      <c r="M64" s="364" t="n">
        <v>45272</v>
      </c>
      <c r="N64" s="70" t="n"/>
      <c r="O64" s="70" t="n"/>
      <c r="P64" s="70" t="n"/>
      <c r="Q64" s="70" t="n"/>
      <c r="R64" s="70" t="n"/>
      <c r="S64" s="70" t="n"/>
      <c r="T64" s="70" t="n"/>
      <c r="U64" s="70" t="n"/>
      <c r="V64" s="70" t="n"/>
      <c r="W64" s="70" t="n"/>
      <c r="X64" s="70" t="n"/>
      <c r="Y64" s="70" t="n"/>
      <c r="Z64" s="70" t="n"/>
      <c r="AA64" s="70" t="n"/>
      <c r="AB64" s="70" t="n"/>
      <c r="AC64" s="70" t="n"/>
      <c r="AD64" s="70" t="n"/>
      <c r="AE64" s="70" t="n"/>
      <c r="AF64" s="70" t="n"/>
      <c r="AG64" s="70" t="n"/>
      <c r="AH64" s="70" t="n"/>
      <c r="AI64" s="70" t="n"/>
      <c r="AJ64" s="70" t="n"/>
      <c r="AK64" s="70" t="n"/>
      <c r="AL64" s="70" t="n"/>
      <c r="AM64" s="70" t="n"/>
      <c r="AN64" s="70" t="n"/>
      <c r="AO64" s="70" t="n"/>
      <c r="AP64" s="70" t="n"/>
      <c r="AQ64" s="70" t="n"/>
      <c r="AR64" s="70" t="n"/>
      <c r="AS64" s="70" t="n"/>
      <c r="AT64" s="70" t="n"/>
      <c r="AU64" s="70" t="n"/>
      <c r="AV64" s="70" t="n"/>
      <c r="AW64" s="70" t="n"/>
      <c r="AX64" s="70" t="n"/>
      <c r="AY64" s="70" t="n"/>
      <c r="AZ64" s="70" t="n"/>
      <c r="BA64" s="70" t="n"/>
      <c r="BB64" s="70" t="n"/>
      <c r="BC64" s="70" t="n"/>
      <c r="BD64" s="70" t="n"/>
      <c r="BE64" s="70" t="n"/>
      <c r="BF64" s="70" t="n"/>
      <c r="BG64" s="70" t="n"/>
      <c r="BH64" s="70" t="n"/>
      <c r="BI64" s="70" t="n"/>
      <c r="BJ64" s="70" t="n"/>
      <c r="BK64" s="70" t="n"/>
      <c r="BL64" s="70" t="n"/>
      <c r="BM64" s="70" t="n"/>
      <c r="BN64" s="70" t="n"/>
      <c r="BO64" s="70" t="n"/>
      <c r="BP64" s="70" t="n"/>
      <c r="BQ64" s="70" t="n"/>
      <c r="BR64" s="70" t="n"/>
      <c r="BS64" s="70" t="n"/>
      <c r="BT64" s="70" t="n"/>
      <c r="BU64" s="70" t="n"/>
      <c r="BV64" s="70" t="n"/>
      <c r="BW64" s="70" t="n"/>
      <c r="BX64" s="70" t="n"/>
      <c r="BY64" s="70" t="n"/>
      <c r="BZ64" s="70" t="n"/>
      <c r="CA64" s="70" t="n"/>
      <c r="CB64" s="70" t="n"/>
      <c r="CC64" s="70" t="n"/>
      <c r="CD64" s="70" t="n"/>
      <c r="CE64" s="70" t="n"/>
      <c r="CF64" s="70" t="n"/>
      <c r="CG64" s="70" t="n"/>
      <c r="CH64" s="70" t="n"/>
      <c r="CI64" s="70" t="n"/>
      <c r="CJ64" s="70" t="n"/>
      <c r="CK64" s="70" t="n"/>
      <c r="CL64" s="70" t="n"/>
      <c r="CM64" s="70" t="n"/>
      <c r="CN64" s="70" t="n"/>
      <c r="CO64" s="70" t="n"/>
      <c r="CP64" s="70" t="n"/>
      <c r="CQ64" s="70" t="n"/>
      <c r="CR64" s="70" t="n"/>
      <c r="CS64" s="70" t="n"/>
      <c r="CT64" s="70" t="n"/>
      <c r="CU64" s="70" t="n"/>
      <c r="CV64" s="70" t="n"/>
      <c r="CW64" s="70" t="n"/>
      <c r="CX64" s="70" t="n"/>
      <c r="CY64" s="70" t="n"/>
      <c r="CZ64" s="70" t="n"/>
      <c r="DA64" s="70" t="n"/>
      <c r="DB64" s="70" t="n"/>
      <c r="DC64" s="70" t="n"/>
      <c r="DD64" s="70" t="n"/>
      <c r="DE64" s="70" t="n"/>
      <c r="DF64" s="70" t="n"/>
      <c r="DG64" s="70" t="n"/>
      <c r="DH64" s="70" t="n"/>
      <c r="DI64" s="70" t="n"/>
      <c r="DJ64" s="70" t="n"/>
      <c r="DK64" s="70" t="n"/>
      <c r="DL64" s="70" t="n"/>
      <c r="DM64" s="70" t="n"/>
      <c r="DN64" s="70" t="n"/>
      <c r="DO64" s="70" t="n"/>
      <c r="DP64" s="70" t="n"/>
      <c r="DQ64" s="70" t="n"/>
      <c r="DR64" s="70" t="n"/>
      <c r="DS64" s="70" t="n"/>
      <c r="DT64" s="70" t="n"/>
      <c r="DU64" s="70" t="n"/>
      <c r="DV64" s="70" t="n"/>
      <c r="DW64" s="70" t="n"/>
      <c r="DX64" s="70" t="n"/>
      <c r="DY64" s="70" t="n"/>
      <c r="DZ64" s="70" t="n"/>
      <c r="EA64" s="70" t="n"/>
      <c r="EB64" s="70" t="n"/>
      <c r="EC64" s="70" t="n"/>
      <c r="ED64" s="70" t="n"/>
      <c r="EE64" s="70" t="n"/>
      <c r="EF64" s="70" t="n"/>
      <c r="EG64" s="70" t="n"/>
      <c r="EH64" s="70" t="n"/>
      <c r="EI64" s="70" t="n"/>
      <c r="EJ64" s="70" t="n"/>
      <c r="EK64" s="70" t="n"/>
      <c r="EL64" s="70" t="n"/>
      <c r="EM64" s="70" t="n"/>
      <c r="EN64" s="70" t="n"/>
      <c r="EO64" s="70" t="n"/>
      <c r="EP64" s="70" t="n"/>
      <c r="EQ64" s="70" t="n"/>
      <c r="ER64" s="70" t="n"/>
      <c r="ES64" s="70" t="n"/>
      <c r="ET64" s="70" t="n"/>
      <c r="EU64" s="70" t="n"/>
      <c r="EV64" s="71" t="n"/>
      <c r="EW64" s="71" t="n"/>
      <c r="EX64" s="71" t="n"/>
    </row>
    <row r="65" ht="13.35" customHeight="1" s="276">
      <c r="A65" s="55">
        <f>A64+1</f>
        <v/>
      </c>
      <c r="B65" s="72" t="inlineStr">
        <is>
          <t>FAPEU</t>
        </is>
      </c>
      <c r="C65" s="63">
        <f>D65/59992083</f>
        <v/>
      </c>
      <c r="D65" s="64" t="n">
        <v>4529402.27</v>
      </c>
      <c r="E65" s="65">
        <f>33902922*C65</f>
        <v/>
      </c>
      <c r="F65" s="66">
        <f>D65-E65</f>
        <v/>
      </c>
      <c r="G65" s="64" t="n">
        <v>0</v>
      </c>
      <c r="H65" s="67">
        <f>E65+G65</f>
        <v/>
      </c>
      <c r="I65" s="68" t="n">
        <v>0</v>
      </c>
      <c r="J65" s="69">
        <f>E65+F65+G65+I65</f>
        <v/>
      </c>
      <c r="K65" s="70" t="n"/>
      <c r="L65" s="74" t="inlineStr">
        <is>
          <t xml:space="preserve">Duração </t>
        </is>
      </c>
      <c r="M65" s="75" t="inlineStr">
        <is>
          <t>60 meses</t>
        </is>
      </c>
      <c r="N65" s="70" t="n"/>
      <c r="O65" s="70" t="n"/>
      <c r="P65" s="70" t="n"/>
      <c r="Q65" s="70" t="n"/>
      <c r="R65" s="70" t="n"/>
      <c r="S65" s="70" t="n"/>
      <c r="T65" s="70" t="n"/>
      <c r="U65" s="70" t="n"/>
      <c r="V65" s="70" t="n"/>
      <c r="W65" s="70" t="n"/>
      <c r="X65" s="70" t="n"/>
      <c r="Y65" s="70" t="n"/>
      <c r="Z65" s="70" t="n"/>
      <c r="AA65" s="70" t="n"/>
      <c r="AB65" s="70" t="n"/>
      <c r="AC65" s="70" t="n"/>
      <c r="AD65" s="70" t="n"/>
      <c r="AE65" s="70" t="n"/>
      <c r="AF65" s="70" t="n"/>
      <c r="AG65" s="70" t="n"/>
      <c r="AH65" s="70" t="n"/>
      <c r="AI65" s="70" t="n"/>
      <c r="AJ65" s="70" t="n"/>
      <c r="AK65" s="70" t="n"/>
      <c r="AL65" s="70" t="n"/>
      <c r="AM65" s="70" t="n"/>
      <c r="AN65" s="70" t="n"/>
      <c r="AO65" s="70" t="n"/>
      <c r="AP65" s="70" t="n"/>
      <c r="AQ65" s="70" t="n"/>
      <c r="AR65" s="70" t="n"/>
      <c r="AS65" s="70" t="n"/>
      <c r="AT65" s="70" t="n"/>
      <c r="AU65" s="70" t="n"/>
      <c r="AV65" s="70" t="n"/>
      <c r="AW65" s="70" t="n"/>
      <c r="AX65" s="70" t="n"/>
      <c r="AY65" s="70" t="n"/>
      <c r="AZ65" s="70" t="n"/>
      <c r="BA65" s="70" t="n"/>
      <c r="BB65" s="70" t="n"/>
      <c r="BC65" s="70" t="n"/>
      <c r="BD65" s="70" t="n"/>
      <c r="BE65" s="70" t="n"/>
      <c r="BF65" s="70" t="n"/>
      <c r="BG65" s="70" t="n"/>
      <c r="BH65" s="70" t="n"/>
      <c r="BI65" s="70" t="n"/>
      <c r="BJ65" s="70" t="n"/>
      <c r="BK65" s="70" t="n"/>
      <c r="BL65" s="70" t="n"/>
      <c r="BM65" s="70" t="n"/>
      <c r="BN65" s="70" t="n"/>
      <c r="BO65" s="70" t="n"/>
      <c r="BP65" s="70" t="n"/>
      <c r="BQ65" s="70" t="n"/>
      <c r="BR65" s="70" t="n"/>
      <c r="BS65" s="70" t="n"/>
      <c r="BT65" s="70" t="n"/>
      <c r="BU65" s="70" t="n"/>
      <c r="BV65" s="70" t="n"/>
      <c r="BW65" s="70" t="n"/>
      <c r="BX65" s="70" t="n"/>
      <c r="BY65" s="70" t="n"/>
      <c r="BZ65" s="70" t="n"/>
      <c r="CA65" s="70" t="n"/>
      <c r="CB65" s="70" t="n"/>
      <c r="CC65" s="70" t="n"/>
      <c r="CD65" s="70" t="n"/>
      <c r="CE65" s="70" t="n"/>
      <c r="CF65" s="70" t="n"/>
      <c r="CG65" s="70" t="n"/>
      <c r="CH65" s="70" t="n"/>
      <c r="CI65" s="70" t="n"/>
      <c r="CJ65" s="70" t="n"/>
      <c r="CK65" s="70" t="n"/>
      <c r="CL65" s="70" t="n"/>
      <c r="CM65" s="70" t="n"/>
      <c r="CN65" s="70" t="n"/>
      <c r="CO65" s="70" t="n"/>
      <c r="CP65" s="70" t="n"/>
      <c r="CQ65" s="70" t="n"/>
      <c r="CR65" s="70" t="n"/>
      <c r="CS65" s="70" t="n"/>
      <c r="CT65" s="70" t="n"/>
      <c r="CU65" s="70" t="n"/>
      <c r="CV65" s="70" t="n"/>
      <c r="CW65" s="70" t="n"/>
      <c r="CX65" s="70" t="n"/>
      <c r="CY65" s="70" t="n"/>
      <c r="CZ65" s="70" t="n"/>
      <c r="DA65" s="70" t="n"/>
      <c r="DB65" s="70" t="n"/>
      <c r="DC65" s="70" t="n"/>
      <c r="DD65" s="70" t="n"/>
      <c r="DE65" s="70" t="n"/>
      <c r="DF65" s="70" t="n"/>
      <c r="DG65" s="70" t="n"/>
      <c r="DH65" s="70" t="n"/>
      <c r="DI65" s="70" t="n"/>
      <c r="DJ65" s="70" t="n"/>
      <c r="DK65" s="70" t="n"/>
      <c r="DL65" s="70" t="n"/>
      <c r="DM65" s="70" t="n"/>
      <c r="DN65" s="70" t="n"/>
      <c r="DO65" s="70" t="n"/>
      <c r="DP65" s="70" t="n"/>
      <c r="DQ65" s="70" t="n"/>
      <c r="DR65" s="70" t="n"/>
      <c r="DS65" s="70" t="n"/>
      <c r="DT65" s="70" t="n"/>
      <c r="DU65" s="70" t="n"/>
      <c r="DV65" s="70" t="n"/>
      <c r="DW65" s="70" t="n"/>
      <c r="DX65" s="70" t="n"/>
      <c r="DY65" s="70" t="n"/>
      <c r="DZ65" s="70" t="n"/>
      <c r="EA65" s="70" t="n"/>
      <c r="EB65" s="70" t="n"/>
      <c r="EC65" s="70" t="n"/>
      <c r="ED65" s="70" t="n"/>
      <c r="EE65" s="70" t="n"/>
      <c r="EF65" s="70" t="n"/>
      <c r="EG65" s="70" t="n"/>
      <c r="EH65" s="70" t="n"/>
      <c r="EI65" s="70" t="n"/>
      <c r="EJ65" s="70" t="n"/>
      <c r="EK65" s="70" t="n"/>
      <c r="EL65" s="70" t="n"/>
      <c r="EM65" s="70" t="n"/>
      <c r="EN65" s="70" t="n"/>
      <c r="EO65" s="70" t="n"/>
      <c r="EP65" s="70" t="n"/>
      <c r="EQ65" s="70" t="n"/>
      <c r="ER65" s="70" t="n"/>
      <c r="ES65" s="70" t="n"/>
      <c r="ET65" s="70" t="n"/>
      <c r="EU65" s="70" t="n"/>
      <c r="EV65" s="71" t="n"/>
      <c r="EW65" s="71" t="n"/>
      <c r="EX65" s="71" t="n"/>
    </row>
    <row r="66" ht="13.35" customHeight="1" s="276">
      <c r="A66" s="55">
        <f>A65+1</f>
        <v/>
      </c>
      <c r="B66" s="72" t="inlineStr">
        <is>
          <t>UFSC</t>
        </is>
      </c>
      <c r="C66" s="63">
        <f>D66/59992083</f>
        <v/>
      </c>
      <c r="D66" s="64" t="n">
        <v>4199445.81</v>
      </c>
      <c r="E66" s="65">
        <f>33902922*C66</f>
        <v/>
      </c>
      <c r="F66" s="66">
        <f>D66-E66</f>
        <v/>
      </c>
      <c r="G66" s="64">
        <f>-5919866-33902922-111372</f>
        <v/>
      </c>
      <c r="H66" s="67">
        <f>E66+G66</f>
        <v/>
      </c>
      <c r="I66" s="68">
        <f>-AJ55</f>
        <v/>
      </c>
      <c r="J66" s="69">
        <f>E66+F66+G66+I66</f>
        <v/>
      </c>
      <c r="K66" s="70" t="n"/>
      <c r="L66" s="74" t="inlineStr">
        <is>
          <t>Fim</t>
        </is>
      </c>
      <c r="M66" s="364" t="n">
        <v>47099</v>
      </c>
      <c r="N66" s="70" t="n"/>
      <c r="O66" s="70" t="n"/>
      <c r="P66" s="70" t="n"/>
      <c r="Q66" s="70" t="n"/>
      <c r="R66" s="70" t="n"/>
      <c r="S66" s="70" t="n"/>
      <c r="T66" s="70" t="n"/>
      <c r="U66" s="70" t="n"/>
      <c r="V66" s="70" t="n"/>
      <c r="W66" s="70" t="n"/>
      <c r="X66" s="70" t="n"/>
      <c r="Y66" s="70" t="n"/>
      <c r="Z66" s="70" t="n"/>
      <c r="AA66" s="70" t="n"/>
      <c r="AB66" s="70" t="n"/>
      <c r="AC66" s="70" t="n"/>
      <c r="AD66" s="70" t="n"/>
      <c r="AE66" s="70" t="n"/>
      <c r="AF66" s="70" t="n"/>
      <c r="AG66" s="70" t="n"/>
      <c r="AH66" s="70" t="n"/>
      <c r="AI66" s="70" t="n"/>
      <c r="AJ66" s="70" t="n"/>
      <c r="AK66" s="70" t="n"/>
      <c r="AL66" s="70" t="n"/>
      <c r="AM66" s="70" t="n"/>
      <c r="AN66" s="70" t="n"/>
      <c r="AO66" s="70" t="n"/>
      <c r="AP66" s="70" t="n"/>
      <c r="AQ66" s="70" t="n"/>
      <c r="AR66" s="70" t="n"/>
      <c r="AS66" s="70" t="n"/>
      <c r="AT66" s="70" t="n"/>
      <c r="AU66" s="70" t="n"/>
      <c r="AV66" s="70" t="n"/>
      <c r="AW66" s="70" t="n"/>
      <c r="AX66" s="70" t="n"/>
      <c r="AY66" s="70" t="n"/>
      <c r="AZ66" s="70" t="n"/>
      <c r="BA66" s="70" t="n"/>
      <c r="BB66" s="70" t="n"/>
      <c r="BC66" s="70" t="n"/>
      <c r="BD66" s="70" t="n"/>
      <c r="BE66" s="70" t="n"/>
      <c r="BF66" s="70" t="n"/>
      <c r="BG66" s="70" t="n"/>
      <c r="BH66" s="70" t="n"/>
      <c r="BI66" s="70" t="n"/>
      <c r="BJ66" s="70" t="n"/>
      <c r="BK66" s="70" t="n"/>
      <c r="BL66" s="70" t="n"/>
      <c r="BM66" s="70" t="n"/>
      <c r="BN66" s="70" t="n"/>
      <c r="BO66" s="70" t="n"/>
      <c r="BP66" s="70" t="n"/>
      <c r="BQ66" s="70" t="n"/>
      <c r="BR66" s="70" t="n"/>
      <c r="BS66" s="70" t="n"/>
      <c r="BT66" s="70" t="n"/>
      <c r="BU66" s="70" t="n"/>
      <c r="BV66" s="70" t="n"/>
      <c r="BW66" s="70" t="n"/>
      <c r="BX66" s="70" t="n"/>
      <c r="BY66" s="70" t="n"/>
      <c r="BZ66" s="70" t="n"/>
      <c r="CA66" s="70" t="n"/>
      <c r="CB66" s="70" t="n"/>
      <c r="CC66" s="70" t="n"/>
      <c r="CD66" s="70" t="n"/>
      <c r="CE66" s="70" t="n"/>
      <c r="CF66" s="70" t="n"/>
      <c r="CG66" s="70" t="n"/>
      <c r="CH66" s="70" t="n"/>
      <c r="CI66" s="70" t="n"/>
      <c r="CJ66" s="70" t="n"/>
      <c r="CK66" s="70" t="n"/>
      <c r="CL66" s="70" t="n"/>
      <c r="CM66" s="70" t="n"/>
      <c r="CN66" s="70" t="n"/>
      <c r="CO66" s="70" t="n"/>
      <c r="CP66" s="70" t="n"/>
      <c r="CQ66" s="70" t="n"/>
      <c r="CR66" s="70" t="n"/>
      <c r="CS66" s="70" t="n"/>
      <c r="CT66" s="70" t="n"/>
      <c r="CU66" s="70" t="n"/>
      <c r="CV66" s="70" t="n"/>
      <c r="CW66" s="70" t="n"/>
      <c r="CX66" s="70" t="n"/>
      <c r="CY66" s="70" t="n"/>
      <c r="CZ66" s="70" t="n"/>
      <c r="DA66" s="70" t="n"/>
      <c r="DB66" s="70" t="n"/>
      <c r="DC66" s="70" t="n"/>
      <c r="DD66" s="70" t="n"/>
      <c r="DE66" s="70" t="n"/>
      <c r="DF66" s="70" t="n"/>
      <c r="DG66" s="70" t="n"/>
      <c r="DH66" s="70" t="n"/>
      <c r="DI66" s="70" t="n"/>
      <c r="DJ66" s="70" t="n"/>
      <c r="DK66" s="70" t="n"/>
      <c r="DL66" s="70" t="n"/>
      <c r="DM66" s="70" t="n"/>
      <c r="DN66" s="70" t="n"/>
      <c r="DO66" s="70" t="n"/>
      <c r="DP66" s="70" t="n"/>
      <c r="DQ66" s="70" t="n"/>
      <c r="DR66" s="70" t="n"/>
      <c r="DS66" s="70" t="n"/>
      <c r="DT66" s="70" t="n"/>
      <c r="DU66" s="70" t="n"/>
      <c r="DV66" s="70" t="n"/>
      <c r="DW66" s="70" t="n"/>
      <c r="DX66" s="70" t="n"/>
      <c r="DY66" s="70" t="n"/>
      <c r="DZ66" s="70" t="n"/>
      <c r="EA66" s="70" t="n"/>
      <c r="EB66" s="70" t="n"/>
      <c r="EC66" s="70" t="n"/>
      <c r="ED66" s="70" t="n"/>
      <c r="EE66" s="70" t="n"/>
      <c r="EF66" s="70" t="n"/>
      <c r="EG66" s="70" t="n"/>
      <c r="EH66" s="70" t="n"/>
      <c r="EI66" s="70" t="n"/>
      <c r="EJ66" s="70" t="n"/>
      <c r="EK66" s="70" t="n"/>
      <c r="EL66" s="70" t="n"/>
      <c r="EM66" s="70" t="n"/>
      <c r="EN66" s="70" t="n"/>
      <c r="EO66" s="70" t="n"/>
      <c r="EP66" s="70" t="n"/>
      <c r="EQ66" s="70" t="n"/>
      <c r="ER66" s="70" t="n"/>
      <c r="ES66" s="70" t="n"/>
      <c r="ET66" s="70" t="n"/>
      <c r="EU66" s="70" t="n"/>
      <c r="EV66" s="71" t="n"/>
      <c r="EW66" s="71" t="n"/>
      <c r="EX66" s="71" t="n"/>
    </row>
    <row r="67" ht="13.35" customHeight="1" s="276">
      <c r="A67" s="76" t="n"/>
      <c r="B67" s="62" t="inlineStr">
        <is>
          <t>Totais</t>
        </is>
      </c>
      <c r="C67" s="77">
        <f>SUM(C60:C66)</f>
        <v/>
      </c>
      <c r="D67" s="78">
        <f>SUM(D59:D66)</f>
        <v/>
      </c>
      <c r="E67" s="78">
        <f>SUM(E59:E66)</f>
        <v/>
      </c>
      <c r="F67" s="78">
        <f>SUM(F59:F66)</f>
        <v/>
      </c>
      <c r="G67" s="78">
        <f>SUM(G59:G66)</f>
        <v/>
      </c>
      <c r="H67" s="78">
        <f>SUM(H59:H66)</f>
        <v/>
      </c>
      <c r="I67" s="78">
        <f>SUM(I59:I66)</f>
        <v/>
      </c>
      <c r="J67" s="78">
        <f>SUM(J59:J66)</f>
        <v/>
      </c>
      <c r="K67" s="79" t="n"/>
      <c r="M67" s="79" t="n"/>
      <c r="N67" s="79" t="n"/>
      <c r="O67" s="79" t="n"/>
      <c r="P67" s="79" t="n"/>
      <c r="Q67" s="79" t="n"/>
      <c r="R67" s="79" t="n"/>
      <c r="S67" s="70" t="n"/>
      <c r="T67" s="70" t="n"/>
      <c r="U67" s="70" t="n"/>
      <c r="V67" s="70" t="n"/>
      <c r="W67" s="70" t="n"/>
      <c r="X67" s="70" t="n"/>
      <c r="Y67" s="70" t="n"/>
      <c r="Z67" s="70" t="n"/>
      <c r="AA67" s="70" t="n"/>
      <c r="AB67" s="70" t="n"/>
      <c r="AC67" s="70" t="n"/>
      <c r="AD67" s="70" t="n"/>
      <c r="AE67" s="70" t="n"/>
      <c r="AF67" s="70" t="n"/>
      <c r="AG67" s="70" t="n"/>
      <c r="AH67" s="70" t="n"/>
      <c r="AI67" s="70" t="n"/>
      <c r="AJ67" s="70" t="n"/>
      <c r="AK67" s="70" t="n"/>
      <c r="AL67" s="70" t="n"/>
      <c r="AM67" s="70" t="n"/>
      <c r="AN67" s="70" t="n"/>
      <c r="AO67" s="70" t="n"/>
      <c r="AP67" s="70" t="n"/>
      <c r="AQ67" s="70" t="n"/>
      <c r="AR67" s="70" t="n"/>
      <c r="AS67" s="70" t="n"/>
      <c r="AT67" s="70" t="n"/>
      <c r="AU67" s="70" t="n"/>
      <c r="AV67" s="70" t="n"/>
      <c r="AW67" s="70" t="n"/>
      <c r="AX67" s="70" t="n"/>
      <c r="AY67" s="70" t="n"/>
      <c r="AZ67" s="70" t="n"/>
      <c r="BA67" s="70" t="n"/>
      <c r="BB67" s="70" t="n"/>
      <c r="BC67" s="70" t="n"/>
      <c r="BD67" s="70" t="n"/>
      <c r="BE67" s="70" t="n"/>
      <c r="BF67" s="70" t="n"/>
      <c r="BG67" s="70" t="n"/>
      <c r="BH67" s="70" t="n"/>
      <c r="BI67" s="70" t="n"/>
      <c r="BJ67" s="70" t="n"/>
      <c r="BK67" s="70" t="n"/>
      <c r="BL67" s="70" t="n"/>
      <c r="BM67" s="70" t="n"/>
      <c r="BN67" s="70" t="n"/>
      <c r="BO67" s="70" t="n"/>
      <c r="BP67" s="70" t="n"/>
      <c r="BQ67" s="70" t="n"/>
      <c r="BR67" s="70" t="n"/>
      <c r="BS67" s="70" t="n"/>
      <c r="BT67" s="70" t="n"/>
      <c r="BU67" s="70" t="n"/>
      <c r="BV67" s="70" t="n"/>
      <c r="BW67" s="70" t="n"/>
      <c r="BX67" s="70" t="n"/>
      <c r="BY67" s="70" t="n"/>
      <c r="BZ67" s="70" t="n"/>
      <c r="CA67" s="70" t="n"/>
      <c r="CB67" s="70" t="n"/>
      <c r="CC67" s="70" t="n"/>
      <c r="CD67" s="70" t="n"/>
      <c r="CE67" s="70" t="n"/>
      <c r="CF67" s="70" t="n"/>
      <c r="CG67" s="70" t="n"/>
      <c r="CH67" s="70" t="n"/>
      <c r="CI67" s="70" t="n"/>
      <c r="CJ67" s="70" t="n"/>
      <c r="CK67" s="70" t="n"/>
      <c r="CL67" s="70" t="n"/>
      <c r="CM67" s="70" t="n"/>
      <c r="CN67" s="70" t="n"/>
      <c r="CO67" s="70" t="n"/>
      <c r="CP67" s="70" t="n"/>
      <c r="CQ67" s="70" t="n"/>
      <c r="CR67" s="70" t="n"/>
      <c r="CS67" s="70" t="n"/>
      <c r="CT67" s="70" t="n"/>
      <c r="CU67" s="70" t="n"/>
      <c r="CV67" s="70" t="n"/>
      <c r="CW67" s="70" t="n"/>
      <c r="CX67" s="70" t="n"/>
      <c r="CY67" s="70" t="n"/>
      <c r="CZ67" s="70" t="n"/>
      <c r="DA67" s="70" t="n"/>
      <c r="DB67" s="70" t="n"/>
      <c r="DC67" s="70" t="n"/>
      <c r="DD67" s="70" t="n"/>
      <c r="DE67" s="70" t="n"/>
      <c r="DF67" s="70" t="n"/>
      <c r="DG67" s="70" t="n"/>
      <c r="DH67" s="70" t="n"/>
      <c r="DI67" s="70" t="n"/>
      <c r="DJ67" s="70" t="n"/>
      <c r="DK67" s="70" t="n"/>
      <c r="DL67" s="70" t="n"/>
      <c r="DM67" s="70" t="n"/>
      <c r="DN67" s="70" t="n"/>
      <c r="DO67" s="70" t="n"/>
      <c r="DP67" s="70" t="n"/>
      <c r="DQ67" s="70" t="n"/>
      <c r="DR67" s="70" t="n"/>
      <c r="DS67" s="70" t="n"/>
      <c r="DT67" s="70" t="n"/>
      <c r="DU67" s="70" t="n"/>
      <c r="DV67" s="70" t="n"/>
      <c r="DW67" s="70" t="n"/>
      <c r="DX67" s="70" t="n"/>
      <c r="DY67" s="70" t="n"/>
      <c r="DZ67" s="70" t="n"/>
      <c r="EA67" s="70" t="n"/>
      <c r="EB67" s="70" t="n"/>
      <c r="EC67" s="70" t="n"/>
      <c r="ED67" s="70" t="n"/>
      <c r="EE67" s="70" t="n"/>
      <c r="EF67" s="70" t="n"/>
      <c r="EG67" s="70" t="n"/>
      <c r="EH67" s="70" t="n"/>
      <c r="EI67" s="70" t="n"/>
      <c r="EJ67" s="70" t="n"/>
      <c r="EK67" s="70" t="n"/>
      <c r="EL67" s="70" t="n"/>
      <c r="EM67" s="70" t="n"/>
      <c r="EN67" s="70" t="n"/>
      <c r="EO67" s="70" t="n"/>
      <c r="EP67" s="70" t="n"/>
      <c r="EQ67" s="70" t="n"/>
      <c r="ER67" s="70" t="n"/>
      <c r="ES67" s="70" t="n"/>
      <c r="ET67" s="70" t="n"/>
      <c r="EU67" s="70" t="n"/>
      <c r="EV67" s="71" t="n"/>
      <c r="EW67" s="71" t="n"/>
      <c r="EX67" s="71" t="n"/>
    </row>
    <row r="68">
      <c r="A68" s="47" t="n"/>
      <c r="C68" s="303" t="n"/>
    </row>
    <row r="69">
      <c r="A69" s="47" t="n"/>
      <c r="C69" s="303" t="n"/>
    </row>
    <row r="70" ht="12.75" customHeight="1" s="276">
      <c r="A70" s="281" t="inlineStr">
        <is>
          <t>Vigência do TED</t>
        </is>
      </c>
      <c r="B70" s="257" t="n"/>
      <c r="C70" s="255" t="n"/>
      <c r="D70" s="82" t="n">
        <v>45272</v>
      </c>
      <c r="E70" s="82" t="n">
        <v>47099</v>
      </c>
      <c r="J70" s="71" t="n"/>
    </row>
    <row r="71" ht="12.75" customHeight="1" s="276">
      <c r="A71" s="281" t="inlineStr">
        <is>
          <t>Vigência de Execução</t>
        </is>
      </c>
      <c r="B71" s="257" t="n"/>
      <c r="C71" s="255" t="n"/>
      <c r="D71" s="82">
        <f>D70</f>
        <v/>
      </c>
      <c r="E71" s="82">
        <f>E70</f>
        <v/>
      </c>
    </row>
    <row r="72" ht="12.75" customHeight="1" s="276">
      <c r="A72" s="281" t="inlineStr">
        <is>
          <t>Vigência do Contrato</t>
        </is>
      </c>
      <c r="B72" s="257" t="n"/>
      <c r="C72" s="255" t="n"/>
      <c r="D72" s="82" t="n">
        <v>45314</v>
      </c>
      <c r="E72" s="82" t="n">
        <v>47099</v>
      </c>
    </row>
    <row r="73" ht="12.75" customHeight="1" s="276">
      <c r="A73" s="283" t="inlineStr">
        <is>
          <t>Fiscais</t>
        </is>
      </c>
      <c r="B73" s="257" t="n"/>
      <c r="C73" s="255" t="n"/>
      <c r="D73" s="365" t="inlineStr">
        <is>
          <t>Jucilei</t>
        </is>
      </c>
      <c r="E73" s="365" t="inlineStr">
        <is>
          <t>Ana</t>
        </is>
      </c>
    </row>
    <row r="74">
      <c r="A74" s="47" t="n"/>
    </row>
    <row r="75">
      <c r="A75" s="47" t="n"/>
    </row>
    <row r="76">
      <c r="A76" s="47" t="n"/>
      <c r="B76" s="303" t="n"/>
      <c r="D76" s="366" t="n"/>
    </row>
    <row r="77">
      <c r="A77" s="47" t="n"/>
      <c r="B77" s="303" t="n"/>
    </row>
    <row r="78">
      <c r="A78" s="47" t="n"/>
      <c r="B78" s="303" t="n"/>
    </row>
    <row r="79">
      <c r="A79" s="47" t="n"/>
      <c r="B79" s="303" t="n"/>
    </row>
    <row r="80">
      <c r="A80" s="47" t="n"/>
      <c r="B80" s="303" t="n"/>
    </row>
    <row r="81">
      <c r="A81" s="47" t="n"/>
      <c r="B81" s="303" t="n"/>
    </row>
    <row r="82">
      <c r="A82" s="47" t="n"/>
      <c r="B82" s="303" t="n"/>
    </row>
    <row r="83">
      <c r="A83" s="47" t="n"/>
      <c r="B83" s="303" t="n"/>
    </row>
    <row r="84">
      <c r="A84" s="47" t="n"/>
      <c r="B84" s="303" t="n"/>
    </row>
    <row r="85">
      <c r="A85" s="47" t="n"/>
      <c r="B85" s="303" t="n"/>
    </row>
    <row r="86">
      <c r="A86" s="47" t="n"/>
      <c r="B86" s="303" t="n"/>
    </row>
    <row r="87">
      <c r="A87" s="47" t="n"/>
      <c r="B87" s="303" t="n"/>
    </row>
    <row r="88">
      <c r="A88" s="47" t="n"/>
      <c r="B88" s="303" t="n"/>
    </row>
    <row r="89">
      <c r="A89" s="47" t="n"/>
      <c r="B89" s="303" t="n"/>
    </row>
    <row r="90">
      <c r="A90" s="47" t="n"/>
      <c r="B90" s="303" t="n"/>
    </row>
    <row r="91">
      <c r="A91" s="47" t="n"/>
    </row>
    <row r="92">
      <c r="A92" s="47" t="n"/>
      <c r="B92" s="367" t="n"/>
    </row>
    <row r="93">
      <c r="A93" s="47" t="n"/>
    </row>
    <row r="94">
      <c r="A94" s="47" t="n"/>
    </row>
    <row r="95">
      <c r="A95" s="47" t="n"/>
    </row>
    <row r="96">
      <c r="A96" s="47" t="n"/>
    </row>
    <row r="97">
      <c r="A97" s="47" t="n"/>
    </row>
    <row r="98">
      <c r="A98" s="47" t="n"/>
    </row>
    <row r="99">
      <c r="A99" s="47" t="n"/>
    </row>
    <row r="100">
      <c r="A100" s="47" t="n"/>
    </row>
    <row r="101">
      <c r="A101" s="47" t="n"/>
    </row>
    <row r="102">
      <c r="A102" s="47" t="n"/>
    </row>
    <row r="103">
      <c r="A103" s="47" t="n"/>
    </row>
    <row r="104">
      <c r="A104" s="47" t="n"/>
    </row>
    <row r="105">
      <c r="A105" s="47" t="n"/>
    </row>
    <row r="106">
      <c r="A106" s="47" t="n"/>
    </row>
    <row r="107">
      <c r="A107" s="47" t="n"/>
    </row>
    <row r="108">
      <c r="A108" s="47" t="n"/>
    </row>
    <row r="109">
      <c r="A109" s="47" t="n"/>
    </row>
    <row r="110">
      <c r="A110" s="47" t="n"/>
    </row>
    <row r="111">
      <c r="A111" s="47" t="n"/>
    </row>
    <row r="112">
      <c r="A112" s="47" t="n"/>
    </row>
    <row r="113">
      <c r="A113" s="47" t="n"/>
    </row>
    <row r="114">
      <c r="A114" s="47" t="n"/>
    </row>
    <row r="115">
      <c r="A115" s="47" t="n"/>
    </row>
    <row r="116">
      <c r="A116" s="47" t="n"/>
    </row>
    <row r="117">
      <c r="A117" s="47" t="n"/>
    </row>
    <row r="118">
      <c r="A118" s="47" t="n"/>
    </row>
    <row r="119">
      <c r="A119" s="47" t="n"/>
    </row>
    <row r="120">
      <c r="A120" s="47" t="n"/>
    </row>
    <row r="121">
      <c r="A121" s="47" t="n"/>
    </row>
    <row r="122">
      <c r="A122" s="47" t="n"/>
    </row>
    <row r="123">
      <c r="A123" s="47" t="n"/>
    </row>
    <row r="124">
      <c r="A124" s="47" t="n"/>
    </row>
    <row r="125">
      <c r="A125" s="47" t="n"/>
    </row>
    <row r="126">
      <c r="A126" s="47" t="n"/>
    </row>
    <row r="127">
      <c r="A127" s="47" t="n"/>
    </row>
    <row r="128">
      <c r="A128" s="47" t="n"/>
    </row>
    <row r="129">
      <c r="A129" s="47" t="n"/>
    </row>
    <row r="130">
      <c r="A130" s="47" t="n"/>
    </row>
    <row r="131">
      <c r="A131" s="47" t="n"/>
    </row>
    <row r="132">
      <c r="A132" s="47" t="n"/>
    </row>
    <row r="133">
      <c r="A133" s="47" t="n"/>
    </row>
    <row r="134">
      <c r="A134" s="47" t="n"/>
    </row>
    <row r="135">
      <c r="A135" s="47" t="n"/>
    </row>
    <row r="136">
      <c r="A136" s="47" t="n"/>
    </row>
    <row r="137">
      <c r="A137" s="47" t="n"/>
    </row>
    <row r="138">
      <c r="A138" s="47" t="n"/>
    </row>
    <row r="139">
      <c r="A139" s="47" t="n"/>
    </row>
    <row r="140">
      <c r="A140" s="47" t="n"/>
    </row>
    <row r="141" ht="14.25" customHeight="1" s="276">
      <c r="A141" s="47" t="n"/>
    </row>
    <row r="142" ht="14.25" customHeight="1" s="276">
      <c r="A142" s="47" t="n"/>
    </row>
    <row r="143" ht="14.25" customHeight="1" s="276">
      <c r="A143" s="47" t="n"/>
    </row>
    <row r="144" ht="14.25" customHeight="1" s="276">
      <c r="A144" s="47" t="n"/>
    </row>
    <row r="145" ht="14.25" customHeight="1" s="276">
      <c r="A145" s="47" t="n"/>
    </row>
    <row r="146" ht="14.25" customHeight="1" s="276">
      <c r="A146" s="47" t="n"/>
    </row>
    <row r="147" ht="14.25" customHeight="1" s="276">
      <c r="A147" s="47" t="n"/>
    </row>
    <row r="148" ht="14.25" customHeight="1" s="276">
      <c r="A148" s="47" t="n"/>
    </row>
    <row r="149" ht="14.25" customHeight="1" s="276">
      <c r="A149" s="47" t="n"/>
    </row>
    <row r="150" ht="14.25" customHeight="1" s="276">
      <c r="A150" s="47" t="n"/>
    </row>
    <row r="151" ht="14.25" customHeight="1" s="276">
      <c r="A151" s="47" t="n"/>
    </row>
    <row r="152" ht="14.25" customHeight="1" s="276">
      <c r="A152" s="47" t="n"/>
    </row>
    <row r="153" ht="14.25" customHeight="1" s="276">
      <c r="A153" s="47" t="n"/>
    </row>
    <row r="154" ht="14.25" customHeight="1" s="276">
      <c r="A154" s="47" t="n"/>
    </row>
    <row r="155" ht="14.25" customHeight="1" s="276">
      <c r="A155" s="47" t="n"/>
    </row>
    <row r="156" ht="14.25" customHeight="1" s="276">
      <c r="A156" s="47" t="n"/>
    </row>
    <row r="157" ht="14.25" customHeight="1" s="276">
      <c r="A157" s="47" t="n"/>
    </row>
    <row r="158" ht="14.25" customHeight="1" s="276">
      <c r="A158" s="47" t="n"/>
    </row>
    <row r="159" ht="14.25" customHeight="1" s="276">
      <c r="A159" s="47" t="n"/>
    </row>
    <row r="160" ht="14.25" customHeight="1" s="276">
      <c r="A160" s="47" t="n"/>
    </row>
    <row r="161" ht="14.25" customHeight="1" s="276">
      <c r="A161" s="47" t="n"/>
    </row>
    <row r="162" ht="14.25" customHeight="1" s="276">
      <c r="A162" s="47" t="n"/>
    </row>
    <row r="163" ht="14.25" customHeight="1" s="276">
      <c r="A163" s="47" t="n"/>
    </row>
    <row r="164" ht="14.25" customHeight="1" s="276">
      <c r="A164" s="47" t="n"/>
    </row>
    <row r="165" ht="14.25" customHeight="1" s="276">
      <c r="A165" s="47" t="n"/>
    </row>
    <row r="166" ht="14.25" customHeight="1" s="276">
      <c r="A166" s="47" t="n"/>
    </row>
    <row r="167" ht="14.25" customHeight="1" s="276">
      <c r="A167" s="47" t="n"/>
    </row>
    <row r="168" ht="14.25" customHeight="1" s="276">
      <c r="A168" s="47" t="n"/>
    </row>
    <row r="169" ht="14.25" customHeight="1" s="276">
      <c r="A169" s="47" t="n"/>
    </row>
    <row r="170" ht="14.25" customHeight="1" s="276">
      <c r="A170" s="47" t="n"/>
    </row>
    <row r="171" ht="14.25" customHeight="1" s="276">
      <c r="A171" s="47" t="n"/>
    </row>
    <row r="172" ht="14.25" customHeight="1" s="276">
      <c r="A172" s="47" t="n"/>
    </row>
    <row r="173" ht="14.25" customHeight="1" s="276">
      <c r="A173" s="47" t="n"/>
    </row>
    <row r="174" ht="14.25" customHeight="1" s="276">
      <c r="A174" s="47" t="n"/>
    </row>
    <row r="175" ht="14.25" customHeight="1" s="276">
      <c r="A175" s="47" t="n"/>
    </row>
    <row r="176" ht="14.25" customHeight="1" s="276">
      <c r="A176" s="47" t="n"/>
    </row>
    <row r="177" ht="14.25" customHeight="1" s="276">
      <c r="A177" s="47" t="n"/>
    </row>
    <row r="178" ht="14.25" customHeight="1" s="276">
      <c r="A178" s="47" t="n"/>
    </row>
    <row r="179" ht="14.25" customHeight="1" s="276">
      <c r="A179" s="47" t="n"/>
    </row>
    <row r="180" ht="14.25" customHeight="1" s="276">
      <c r="A180" s="47" t="n"/>
    </row>
    <row r="181" ht="14.25" customHeight="1" s="276">
      <c r="A181" s="47" t="n"/>
    </row>
    <row r="182" ht="14.25" customHeight="1" s="276">
      <c r="A182" s="47" t="n"/>
    </row>
    <row r="183" ht="14.25" customHeight="1" s="276">
      <c r="A183" s="47" t="n"/>
    </row>
    <row r="184" ht="14.25" customHeight="1" s="276">
      <c r="A184" s="47" t="n"/>
    </row>
    <row r="185" ht="14.25" customHeight="1" s="276">
      <c r="A185" s="47" t="n"/>
    </row>
    <row r="186" ht="14.25" customHeight="1" s="276">
      <c r="A186" s="47" t="n"/>
    </row>
    <row r="187" ht="14.25" customHeight="1" s="276">
      <c r="A187" s="47" t="n"/>
    </row>
    <row r="188" ht="14.25" customHeight="1" s="276">
      <c r="A188" s="47" t="n"/>
    </row>
    <row r="189" ht="14.25" customHeight="1" s="276">
      <c r="A189" s="47" t="n"/>
    </row>
    <row r="190" ht="14.25" customHeight="1" s="276">
      <c r="A190" s="47" t="n"/>
    </row>
    <row r="191" ht="14.25" customHeight="1" s="276">
      <c r="A191" s="47" t="n"/>
    </row>
    <row r="192" ht="14.25" customHeight="1" s="276">
      <c r="A192" s="47" t="n"/>
    </row>
    <row r="193" ht="14.25" customHeight="1" s="276">
      <c r="A193" s="47" t="n"/>
    </row>
    <row r="194" ht="14.25" customHeight="1" s="276">
      <c r="A194" s="47" t="n"/>
    </row>
    <row r="195" ht="14.25" customHeight="1" s="276">
      <c r="A195" s="47" t="n"/>
    </row>
    <row r="196" ht="14.25" customHeight="1" s="276">
      <c r="A196" s="47" t="n"/>
    </row>
    <row r="197" ht="14.25" customHeight="1" s="276">
      <c r="A197" s="47" t="n"/>
    </row>
    <row r="198" ht="14.25" customHeight="1" s="276">
      <c r="A198" s="47" t="n"/>
    </row>
    <row r="199" ht="14.25" customHeight="1" s="276">
      <c r="A199" s="47" t="n"/>
    </row>
    <row r="200" ht="14.25" customHeight="1" s="276">
      <c r="A200" s="47" t="n"/>
    </row>
    <row r="201" ht="14.25" customHeight="1" s="276">
      <c r="A201" s="47" t="n"/>
    </row>
    <row r="202" ht="14.25" customHeight="1" s="276">
      <c r="A202" s="47" t="n"/>
    </row>
    <row r="203" ht="14.25" customHeight="1" s="276">
      <c r="A203" s="47" t="n"/>
    </row>
    <row r="204" ht="14.25" customHeight="1" s="276">
      <c r="A204" s="47" t="n"/>
    </row>
    <row r="205" ht="14.25" customHeight="1" s="276">
      <c r="A205" s="47" t="n"/>
    </row>
    <row r="206" ht="14.25" customHeight="1" s="276">
      <c r="A206" s="47" t="n"/>
    </row>
    <row r="207" ht="14.25" customHeight="1" s="276">
      <c r="A207" s="47" t="n"/>
    </row>
    <row r="208" ht="14.25" customHeight="1" s="276">
      <c r="A208" s="47" t="n"/>
    </row>
    <row r="209" ht="14.25" customHeight="1" s="276">
      <c r="A209" s="47" t="n"/>
    </row>
    <row r="210" ht="14.25" customHeight="1" s="276">
      <c r="A210" s="47" t="n"/>
    </row>
    <row r="211" ht="14.25" customHeight="1" s="276">
      <c r="A211" s="47" t="n"/>
    </row>
    <row r="212" ht="14.25" customHeight="1" s="276">
      <c r="A212" s="47" t="n"/>
    </row>
    <row r="213" ht="14.25" customHeight="1" s="276">
      <c r="A213" s="47" t="n"/>
    </row>
    <row r="214" ht="14.25" customHeight="1" s="276">
      <c r="A214" s="47" t="n"/>
    </row>
    <row r="215" ht="14.25" customHeight="1" s="276">
      <c r="A215" s="47" t="n"/>
    </row>
    <row r="216" ht="14.25" customHeight="1" s="276">
      <c r="A216" s="47" t="n"/>
    </row>
    <row r="217" ht="14.25" customHeight="1" s="276">
      <c r="A217" s="47" t="n"/>
    </row>
    <row r="218" ht="14.25" customHeight="1" s="276">
      <c r="A218" s="47" t="n"/>
    </row>
    <row r="219" ht="14.25" customHeight="1" s="276">
      <c r="A219" s="47" t="n"/>
    </row>
    <row r="220" ht="14.25" customHeight="1" s="276">
      <c r="A220" s="47" t="n"/>
    </row>
    <row r="221" ht="14.25" customHeight="1" s="276">
      <c r="A221" s="47" t="n"/>
    </row>
    <row r="222" ht="14.25" customHeight="1" s="276">
      <c r="A222" s="47" t="n"/>
    </row>
    <row r="223" ht="14.25" customHeight="1" s="276">
      <c r="A223" s="47" t="n"/>
    </row>
    <row r="224" ht="14.25" customHeight="1" s="276">
      <c r="A224" s="47" t="n"/>
    </row>
    <row r="225" ht="14.25" customHeight="1" s="276">
      <c r="A225" s="47" t="n"/>
    </row>
    <row r="226" ht="14.25" customHeight="1" s="276">
      <c r="A226" s="47" t="n"/>
    </row>
    <row r="227" ht="14.25" customHeight="1" s="276">
      <c r="A227" s="47" t="n"/>
    </row>
    <row r="228" ht="14.25" customHeight="1" s="276">
      <c r="A228" s="47" t="n"/>
    </row>
    <row r="229" ht="14.25" customHeight="1" s="276">
      <c r="A229" s="47" t="n"/>
    </row>
    <row r="230" ht="14.25" customHeight="1" s="276">
      <c r="A230" s="47" t="n"/>
    </row>
    <row r="231" ht="14.25" customHeight="1" s="276">
      <c r="A231" s="47" t="n"/>
    </row>
    <row r="232" ht="14.25" customHeight="1" s="276">
      <c r="A232" s="47" t="n"/>
    </row>
    <row r="233" ht="14.25" customHeight="1" s="276">
      <c r="A233" s="47" t="n"/>
    </row>
    <row r="234" ht="14.25" customHeight="1" s="276">
      <c r="A234" s="47" t="n"/>
    </row>
    <row r="235" ht="14.25" customHeight="1" s="276">
      <c r="A235" s="47" t="n"/>
    </row>
    <row r="236" ht="14.25" customHeight="1" s="276">
      <c r="A236" s="47" t="n"/>
    </row>
    <row r="237" ht="14.25" customHeight="1" s="276">
      <c r="A237" s="47" t="n"/>
    </row>
    <row r="238" ht="14.25" customHeight="1" s="276">
      <c r="A238" s="47" t="n"/>
    </row>
    <row r="239" ht="14.25" customHeight="1" s="276">
      <c r="A239" s="47" t="n"/>
    </row>
    <row r="240" ht="14.25" customHeight="1" s="276">
      <c r="A240" s="47" t="n"/>
    </row>
    <row r="241" ht="14.25" customHeight="1" s="276">
      <c r="A241" s="47" t="n"/>
    </row>
    <row r="242" ht="14.25" customHeight="1" s="276">
      <c r="A242" s="47" t="n"/>
    </row>
    <row r="243" ht="14.25" customHeight="1" s="276">
      <c r="A243" s="47" t="n"/>
    </row>
    <row r="244" ht="14.25" customHeight="1" s="276">
      <c r="A244" s="47" t="n"/>
    </row>
    <row r="245" ht="14.25" customHeight="1" s="276">
      <c r="A245" s="47" t="n"/>
    </row>
    <row r="246" ht="14.25" customHeight="1" s="276">
      <c r="A246" s="47" t="n"/>
    </row>
    <row r="247" ht="14.25" customHeight="1" s="276">
      <c r="A247" s="47" t="n"/>
    </row>
    <row r="248" ht="14.25" customHeight="1" s="276">
      <c r="A248" s="47" t="n"/>
    </row>
    <row r="249" ht="14.25" customHeight="1" s="276">
      <c r="A249" s="47" t="n"/>
    </row>
    <row r="250" ht="14.25" customHeight="1" s="276">
      <c r="A250" s="47" t="n"/>
    </row>
    <row r="251" ht="14.25" customHeight="1" s="276">
      <c r="A251" s="47" t="n"/>
    </row>
    <row r="252" ht="14.25" customHeight="1" s="276">
      <c r="A252" s="47" t="n"/>
    </row>
    <row r="253" ht="14.25" customHeight="1" s="276">
      <c r="A253" s="47" t="n"/>
    </row>
    <row r="254" ht="14.25" customHeight="1" s="276">
      <c r="A254" s="47" t="n"/>
    </row>
    <row r="255" ht="14.25" customHeight="1" s="276">
      <c r="A255" s="47" t="n"/>
    </row>
    <row r="256" ht="14.25" customHeight="1" s="276">
      <c r="A256" s="47" t="n"/>
    </row>
    <row r="257" ht="14.25" customHeight="1" s="276">
      <c r="A257" s="47" t="n"/>
    </row>
    <row r="258" ht="14.25" customHeight="1" s="276">
      <c r="A258" s="47" t="n"/>
    </row>
    <row r="259" ht="14.25" customHeight="1" s="276">
      <c r="A259" s="47" t="n"/>
    </row>
    <row r="260" ht="14.25" customHeight="1" s="276">
      <c r="A260" s="47" t="n"/>
    </row>
    <row r="261" ht="14.25" customHeight="1" s="276">
      <c r="A261" s="47" t="n"/>
    </row>
    <row r="262" ht="14.25" customHeight="1" s="276">
      <c r="A262" s="47" t="n"/>
    </row>
    <row r="263" ht="14.25" customHeight="1" s="276">
      <c r="A263" s="47" t="n"/>
    </row>
    <row r="264" ht="14.25" customHeight="1" s="276">
      <c r="A264" s="47" t="n"/>
    </row>
    <row r="265" ht="14.25" customHeight="1" s="276">
      <c r="A265" s="47" t="n"/>
    </row>
    <row r="266" ht="14.25" customHeight="1" s="276">
      <c r="A266" s="47" t="n"/>
    </row>
    <row r="267" ht="14.25" customHeight="1" s="276">
      <c r="A267" s="47" t="n"/>
    </row>
    <row r="268" ht="14.25" customHeight="1" s="276">
      <c r="A268" s="47" t="n"/>
    </row>
    <row r="269" ht="14.25" customHeight="1" s="276">
      <c r="A269" s="47" t="n"/>
    </row>
    <row r="270" ht="14.25" customHeight="1" s="276">
      <c r="A270" s="47" t="n"/>
    </row>
    <row r="271" ht="14.25" customHeight="1" s="276">
      <c r="A271" s="47" t="n"/>
    </row>
    <row r="272" ht="14.25" customHeight="1" s="276">
      <c r="A272" s="47" t="n"/>
    </row>
    <row r="273" ht="14.25" customHeight="1" s="276">
      <c r="A273" s="47" t="n"/>
    </row>
    <row r="274" ht="14.25" customHeight="1" s="276">
      <c r="A274" s="47" t="n"/>
    </row>
    <row r="275" ht="14.25" customHeight="1" s="276">
      <c r="A275" s="47" t="n"/>
    </row>
    <row r="276" ht="14.25" customHeight="1" s="276">
      <c r="A276" s="47" t="n"/>
    </row>
    <row r="277" ht="14.25" customHeight="1" s="276">
      <c r="A277" s="47" t="n"/>
    </row>
    <row r="278" ht="14.25" customHeight="1" s="276">
      <c r="A278" s="47" t="n"/>
    </row>
    <row r="279" ht="14.25" customHeight="1" s="276">
      <c r="A279" s="47" t="n"/>
    </row>
    <row r="280" ht="14.25" customHeight="1" s="276">
      <c r="A280" s="47" t="n"/>
    </row>
    <row r="281" ht="14.25" customHeight="1" s="276">
      <c r="A281" s="47" t="n"/>
    </row>
    <row r="282" ht="14.25" customHeight="1" s="276">
      <c r="A282" s="47" t="n"/>
    </row>
    <row r="283" ht="14.25" customHeight="1" s="276">
      <c r="A283" s="47" t="n"/>
    </row>
    <row r="284" ht="14.25" customHeight="1" s="276">
      <c r="A284" s="47" t="n"/>
    </row>
    <row r="285" ht="14.25" customHeight="1" s="276">
      <c r="A285" s="47" t="n"/>
    </row>
    <row r="286" ht="14.25" customHeight="1" s="276">
      <c r="A286" s="47" t="n"/>
    </row>
    <row r="287" ht="14.25" customHeight="1" s="276">
      <c r="A287" s="47" t="n"/>
    </row>
    <row r="288" ht="14.25" customHeight="1" s="276">
      <c r="A288" s="47" t="n"/>
    </row>
    <row r="289" ht="14.25" customHeight="1" s="276">
      <c r="A289" s="47" t="n"/>
    </row>
    <row r="290" ht="14.25" customHeight="1" s="276">
      <c r="A290" s="47" t="n"/>
    </row>
    <row r="291" ht="14.25" customHeight="1" s="276">
      <c r="A291" s="47" t="n"/>
    </row>
    <row r="292" ht="14.25" customHeight="1" s="276">
      <c r="A292" s="47" t="n"/>
    </row>
    <row r="293" ht="14.25" customHeight="1" s="276">
      <c r="A293" s="47" t="n"/>
    </row>
    <row r="294" ht="14.25" customHeight="1" s="276">
      <c r="A294" s="47" t="n"/>
    </row>
    <row r="295" ht="14.25" customHeight="1" s="276">
      <c r="A295" s="47" t="n"/>
    </row>
    <row r="296" ht="14.25" customHeight="1" s="276">
      <c r="A296" s="47" t="n"/>
    </row>
    <row r="297" ht="14.25" customHeight="1" s="276">
      <c r="A297" s="47" t="n"/>
    </row>
    <row r="298" ht="14.25" customHeight="1" s="276">
      <c r="A298" s="47" t="n"/>
    </row>
    <row r="299" ht="14.25" customHeight="1" s="276">
      <c r="A299" s="47" t="n"/>
    </row>
    <row r="300" ht="14.25" customHeight="1" s="276">
      <c r="A300" s="47" t="n"/>
    </row>
    <row r="301" ht="14.25" customHeight="1" s="276">
      <c r="A301" s="47" t="n"/>
    </row>
    <row r="302" ht="14.25" customHeight="1" s="276">
      <c r="A302" s="47" t="n"/>
    </row>
    <row r="303" ht="14.25" customHeight="1" s="276">
      <c r="A303" s="47" t="n"/>
    </row>
    <row r="304" ht="14.25" customHeight="1" s="276">
      <c r="A304" s="47" t="n"/>
    </row>
    <row r="305" ht="14.25" customHeight="1" s="276">
      <c r="A305" s="47" t="n"/>
    </row>
    <row r="306" ht="14.25" customHeight="1" s="276">
      <c r="A306" s="47" t="n"/>
    </row>
    <row r="307" ht="14.25" customHeight="1" s="276">
      <c r="A307" s="47" t="n"/>
    </row>
    <row r="308" ht="14.25" customHeight="1" s="276">
      <c r="A308" s="47" t="n"/>
    </row>
    <row r="309" ht="14.25" customHeight="1" s="276">
      <c r="A309" s="47" t="n"/>
    </row>
    <row r="310" ht="14.25" customHeight="1" s="276">
      <c r="A310" s="47" t="n"/>
    </row>
    <row r="311" ht="14.25" customHeight="1" s="276">
      <c r="A311" s="47" t="n"/>
    </row>
    <row r="312" ht="14.25" customHeight="1" s="276">
      <c r="A312" s="47" t="n"/>
    </row>
    <row r="313" ht="14.25" customHeight="1" s="276">
      <c r="A313" s="47" t="n"/>
    </row>
    <row r="314" ht="14.25" customHeight="1" s="276">
      <c r="A314" s="47" t="n"/>
    </row>
    <row r="315" ht="14.25" customHeight="1" s="276">
      <c r="A315" s="47" t="n"/>
    </row>
    <row r="316" ht="14.25" customHeight="1" s="276">
      <c r="A316" s="47" t="n"/>
    </row>
    <row r="317" ht="14.25" customHeight="1" s="276">
      <c r="A317" s="47" t="n"/>
    </row>
    <row r="318" ht="14.25" customHeight="1" s="276">
      <c r="A318" s="47" t="n"/>
    </row>
    <row r="319" ht="14.25" customHeight="1" s="276">
      <c r="A319" s="47" t="n"/>
    </row>
    <row r="320" ht="14.25" customHeight="1" s="276">
      <c r="A320" s="47" t="n"/>
    </row>
    <row r="321" ht="14.25" customHeight="1" s="276">
      <c r="A321" s="47" t="n"/>
    </row>
    <row r="322" ht="14.25" customHeight="1" s="276">
      <c r="A322" s="47" t="n"/>
    </row>
    <row r="323" ht="14.25" customHeight="1" s="276">
      <c r="A323" s="47" t="n"/>
    </row>
    <row r="324" ht="14.25" customHeight="1" s="276">
      <c r="A324" s="47" t="n"/>
    </row>
    <row r="325" ht="14.25" customHeight="1" s="276">
      <c r="A325" s="47" t="n"/>
    </row>
    <row r="326" ht="14.25" customHeight="1" s="276">
      <c r="A326" s="47" t="n"/>
    </row>
    <row r="327" ht="14.25" customHeight="1" s="276">
      <c r="A327" s="47" t="n"/>
    </row>
    <row r="328" ht="14.25" customHeight="1" s="276">
      <c r="A328" s="47" t="n"/>
    </row>
    <row r="329" ht="14.25" customHeight="1" s="276">
      <c r="A329" s="47" t="n"/>
    </row>
    <row r="330" ht="14.25" customHeight="1" s="276">
      <c r="A330" s="47" t="n"/>
    </row>
    <row r="331" ht="14.25" customHeight="1" s="276">
      <c r="A331" s="47" t="n"/>
    </row>
    <row r="332" ht="14.25" customHeight="1" s="276">
      <c r="A332" s="47" t="n"/>
    </row>
    <row r="333" ht="14.25" customHeight="1" s="276">
      <c r="A333" s="47" t="n"/>
    </row>
    <row r="334" ht="14.25" customHeight="1" s="276">
      <c r="A334" s="47" t="n"/>
    </row>
    <row r="335" ht="14.25" customHeight="1" s="276">
      <c r="A335" s="47" t="n"/>
    </row>
    <row r="336" ht="14.25" customHeight="1" s="276">
      <c r="A336" s="47" t="n"/>
    </row>
    <row r="337" ht="14.25" customHeight="1" s="276">
      <c r="A337" s="47" t="n"/>
    </row>
    <row r="338" ht="14.25" customHeight="1" s="276">
      <c r="A338" s="47" t="n"/>
    </row>
    <row r="339" ht="14.25" customHeight="1" s="276">
      <c r="A339" s="47" t="n"/>
    </row>
    <row r="340" ht="14.25" customHeight="1" s="276">
      <c r="A340" s="47" t="n"/>
    </row>
    <row r="341" ht="14.25" customHeight="1" s="276">
      <c r="A341" s="47" t="n"/>
    </row>
    <row r="342" ht="14.25" customHeight="1" s="276">
      <c r="A342" s="47" t="n"/>
    </row>
    <row r="343" ht="14.25" customHeight="1" s="276">
      <c r="A343" s="47" t="n"/>
    </row>
    <row r="344" ht="14.25" customHeight="1" s="276">
      <c r="A344" s="47" t="n"/>
    </row>
    <row r="345" ht="14.25" customHeight="1" s="276">
      <c r="A345" s="47" t="n"/>
    </row>
    <row r="346" ht="14.25" customHeight="1" s="276">
      <c r="A346" s="47" t="n"/>
    </row>
    <row r="347" ht="14.25" customHeight="1" s="276">
      <c r="A347" s="47" t="n"/>
    </row>
    <row r="348" ht="14.25" customHeight="1" s="276">
      <c r="A348" s="47" t="n"/>
    </row>
    <row r="349" ht="14.25" customHeight="1" s="276">
      <c r="A349" s="47" t="n"/>
    </row>
    <row r="350" ht="14.25" customHeight="1" s="276">
      <c r="A350" s="47" t="n"/>
    </row>
    <row r="351" ht="14.25" customHeight="1" s="276">
      <c r="A351" s="47" t="n"/>
    </row>
    <row r="352" ht="14.25" customHeight="1" s="276">
      <c r="A352" s="47" t="n"/>
    </row>
    <row r="353" ht="14.25" customHeight="1" s="276">
      <c r="A353" s="47" t="n"/>
    </row>
    <row r="354" ht="14.25" customHeight="1" s="276">
      <c r="A354" s="47" t="n"/>
    </row>
    <row r="355" ht="14.25" customHeight="1" s="276">
      <c r="A355" s="47" t="n"/>
    </row>
    <row r="356" ht="14.25" customHeight="1" s="276">
      <c r="A356" s="47" t="n"/>
    </row>
    <row r="357" ht="14.25" customHeight="1" s="276">
      <c r="A357" s="47" t="n"/>
    </row>
    <row r="358" ht="14.25" customHeight="1" s="276">
      <c r="A358" s="47" t="n"/>
    </row>
    <row r="359" ht="14.25" customHeight="1" s="276">
      <c r="A359" s="47" t="n"/>
    </row>
    <row r="360" ht="14.25" customHeight="1" s="276">
      <c r="A360" s="47" t="n"/>
    </row>
    <row r="361" ht="14.25" customHeight="1" s="276">
      <c r="A361" s="47" t="n"/>
    </row>
    <row r="362" ht="14.25" customHeight="1" s="276">
      <c r="A362" s="47" t="n"/>
    </row>
    <row r="363" ht="14.25" customHeight="1" s="276">
      <c r="A363" s="47" t="n"/>
    </row>
    <row r="364" ht="14.25" customHeight="1" s="276">
      <c r="A364" s="47" t="n"/>
    </row>
    <row r="365" ht="14.25" customHeight="1" s="276">
      <c r="A365" s="47" t="n"/>
    </row>
    <row r="366" ht="14.25" customHeight="1" s="276">
      <c r="A366" s="47" t="n"/>
    </row>
    <row r="367" ht="14.25" customHeight="1" s="276">
      <c r="A367" s="47" t="n"/>
    </row>
    <row r="368" ht="14.25" customHeight="1" s="276">
      <c r="A368" s="47" t="n"/>
    </row>
    <row r="369" ht="14.25" customHeight="1" s="276">
      <c r="A369" s="47" t="n"/>
    </row>
    <row r="370" ht="14.25" customHeight="1" s="276">
      <c r="A370" s="47" t="n"/>
    </row>
    <row r="371" ht="14.25" customHeight="1" s="276">
      <c r="A371" s="47" t="n"/>
    </row>
    <row r="372" ht="14.25" customHeight="1" s="276">
      <c r="A372" s="47" t="n"/>
    </row>
    <row r="373" ht="14.25" customHeight="1" s="276">
      <c r="A373" s="47" t="n"/>
    </row>
    <row r="374" ht="14.25" customHeight="1" s="276">
      <c r="A374" s="47" t="n"/>
    </row>
    <row r="375" ht="14.25" customHeight="1" s="276">
      <c r="A375" s="47" t="n"/>
    </row>
    <row r="376" ht="14.25" customHeight="1" s="276">
      <c r="A376" s="47" t="n"/>
    </row>
    <row r="377" ht="14.25" customHeight="1" s="276">
      <c r="A377" s="47" t="n"/>
    </row>
    <row r="378" ht="14.25" customHeight="1" s="276">
      <c r="A378" s="47" t="n"/>
    </row>
    <row r="379" ht="14.25" customHeight="1" s="276">
      <c r="A379" s="47" t="n"/>
    </row>
    <row r="380" ht="14.25" customHeight="1" s="276">
      <c r="A380" s="47" t="n"/>
    </row>
    <row r="381" ht="14.25" customHeight="1" s="276">
      <c r="A381" s="47" t="n"/>
    </row>
    <row r="382" ht="14.25" customHeight="1" s="276">
      <c r="A382" s="47" t="n"/>
    </row>
    <row r="383" ht="14.25" customHeight="1" s="276">
      <c r="A383" s="47" t="n"/>
    </row>
    <row r="384" ht="14.25" customHeight="1" s="276">
      <c r="A384" s="47" t="n"/>
    </row>
    <row r="385" ht="14.25" customHeight="1" s="276">
      <c r="A385" s="47" t="n"/>
    </row>
  </sheetData>
  <mergeCells count="58">
    <mergeCell ref="B42:D42"/>
    <mergeCell ref="B11:D11"/>
    <mergeCell ref="B14:D14"/>
    <mergeCell ref="B23:D23"/>
    <mergeCell ref="B8:D8"/>
    <mergeCell ref="B17:D17"/>
    <mergeCell ref="A56:C56"/>
    <mergeCell ref="B13:D13"/>
    <mergeCell ref="B44:D44"/>
    <mergeCell ref="B29:D29"/>
    <mergeCell ref="B38:D38"/>
    <mergeCell ref="B34:D34"/>
    <mergeCell ref="B10:D10"/>
    <mergeCell ref="B28:D28"/>
    <mergeCell ref="B52:C52"/>
    <mergeCell ref="A71:C71"/>
    <mergeCell ref="B19:D19"/>
    <mergeCell ref="B37:D37"/>
    <mergeCell ref="B40:D40"/>
    <mergeCell ref="B9:D9"/>
    <mergeCell ref="B30:D30"/>
    <mergeCell ref="A49:D49"/>
    <mergeCell ref="B15:D15"/>
    <mergeCell ref="B6:D6"/>
    <mergeCell ref="B24:D24"/>
    <mergeCell ref="B53:C53"/>
    <mergeCell ref="B20:D20"/>
    <mergeCell ref="A72:C72"/>
    <mergeCell ref="B33:D33"/>
    <mergeCell ref="B5:D5"/>
    <mergeCell ref="B36:D36"/>
    <mergeCell ref="B45:D45"/>
    <mergeCell ref="B41:D41"/>
    <mergeCell ref="B32:D32"/>
    <mergeCell ref="B4:D4"/>
    <mergeCell ref="A54:D54"/>
    <mergeCell ref="B26:D26"/>
    <mergeCell ref="B35:D35"/>
    <mergeCell ref="B7:D7"/>
    <mergeCell ref="B25:D25"/>
    <mergeCell ref="A73:C73"/>
    <mergeCell ref="B47:D47"/>
    <mergeCell ref="B16:D16"/>
    <mergeCell ref="B3:D3"/>
    <mergeCell ref="B31:D31"/>
    <mergeCell ref="B46:D46"/>
    <mergeCell ref="B22:D22"/>
    <mergeCell ref="B51:C51"/>
    <mergeCell ref="A55:D55"/>
    <mergeCell ref="B18:D18"/>
    <mergeCell ref="B27:D27"/>
    <mergeCell ref="A70:C70"/>
    <mergeCell ref="B21:D21"/>
    <mergeCell ref="B50:C50"/>
    <mergeCell ref="B43:D43"/>
    <mergeCell ref="B12:D12"/>
    <mergeCell ref="B39:D39"/>
    <mergeCell ref="B48:D48"/>
  </mergeCells>
  <conditionalFormatting sqref="E4:AI48">
    <cfRule type="expression" priority="2" dxfId="0">
      <formula>ISBLANK(E4)</formula>
    </cfRule>
  </conditionalFormatting>
  <dataValidations count="1">
    <dataValidation sqref="E38:AI38 E41:M41 E42:E43 F42:R42 F43:K43" showDropDown="1" showInputMessage="0" showErrorMessage="0" allowBlank="1" type="custom">
      <formula1>AND(ISNUMBER(E38),(NOT(OR(NOT(ISERROR(DATEVALUE(E38))), AND(ISNUMBER(E38), LEFT(CELL("format", E38))="D")))))</formula1>
    </dataValidation>
  </dataValidations>
  <pageMargins left="0.5118110236220472" right="0.5118110236220472" top="0.7874015748031497" bottom="0.7874015748031497" header="0.3149606299212598" footer="0.3149606299212598"/>
  <pageSetup orientation="landscape" paperSize="9" scale="75" fitToHeight="2" fitToWidth="2" horizontalDpi="300" verticalDpi="300"/>
  <headerFooter>
    <oddHeader>&amp;C&amp;"Arial,Negrito"&amp;12 SAC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D379"/>
  <sheetViews>
    <sheetView view="pageBreakPreview" zoomScaleNormal="100" zoomScaleSheetLayoutView="100" workbookViewId="0">
      <pane ySplit="1" topLeftCell="A38" activePane="bottomLeft" state="frozen"/>
      <selection pane="bottomLeft" activeCell="B22" sqref="B22:D22"/>
    </sheetView>
    <sheetView workbookViewId="1">
      <selection activeCell="A1" sqref="A1"/>
    </sheetView>
  </sheetViews>
  <sheetFormatPr baseColWidth="8" defaultColWidth="11.42578125" defaultRowHeight="12"/>
  <cols>
    <col width="4.85546875" bestFit="1" customWidth="1" style="59" min="1" max="1"/>
    <col width="19" customWidth="1" style="47" min="2" max="2"/>
    <col width="7" customWidth="1" style="47" min="3" max="3"/>
    <col width="10.42578125" customWidth="1" style="47" min="4" max="4"/>
    <col width="10.140625" customWidth="1" style="47" min="5" max="105"/>
    <col width="10.7109375" customWidth="1" style="47" min="106" max="113"/>
    <col width="9.5703125" customWidth="1" style="47" min="114" max="114"/>
    <col width="9.85546875" customWidth="1" style="47" min="115" max="115"/>
    <col width="9.140625" customWidth="1" style="47" min="116" max="116"/>
    <col width="9" customWidth="1" style="47" min="117" max="117"/>
    <col width="9.7109375" customWidth="1" style="47" min="118" max="118"/>
    <col width="10.28515625" customWidth="1" style="47" min="119" max="119"/>
    <col width="9.85546875" bestFit="1" customWidth="1" style="47" min="120" max="120"/>
    <col width="9" customWidth="1" style="47" min="121" max="121"/>
    <col width="9.85546875" bestFit="1" customWidth="1" style="47" min="122" max="122"/>
    <col width="9" customWidth="1" style="47" min="123" max="125"/>
    <col width="9.85546875" bestFit="1" customWidth="1" style="47" min="126" max="127"/>
    <col width="9.85546875" customWidth="1" style="47" min="128" max="128"/>
    <col width="11.7109375" customWidth="1" style="47" min="129" max="129"/>
    <col width="10.7109375" customWidth="1" style="47" min="130" max="130"/>
    <col width="10.140625" customWidth="1" style="47" min="131" max="131"/>
    <col width="9" customWidth="1" style="47" min="132" max="133"/>
    <col width="10.42578125" customWidth="1" style="47" min="134" max="134"/>
    <col width="11.42578125" customWidth="1" style="47" min="135" max="136"/>
    <col width="11.42578125" customWidth="1" style="47" min="137" max="16384"/>
  </cols>
  <sheetData>
    <row r="1" ht="13.9" customHeight="1" s="276">
      <c r="A1" s="43" t="inlineStr">
        <is>
          <t>N˚</t>
        </is>
      </c>
      <c r="B1" s="44" t="inlineStr">
        <is>
          <t>Receita</t>
        </is>
      </c>
      <c r="C1" s="45" t="n"/>
      <c r="D1" s="46" t="inlineStr">
        <is>
          <t>Até mai/26</t>
        </is>
      </c>
      <c r="E1" s="46" t="n">
        <v>46174</v>
      </c>
      <c r="F1" s="46" t="n">
        <v>46204</v>
      </c>
      <c r="G1" s="46" t="n">
        <v>46235</v>
      </c>
      <c r="H1" s="46" t="n">
        <v>46266</v>
      </c>
      <c r="I1" s="46" t="n">
        <v>46296</v>
      </c>
      <c r="J1" s="46" t="n">
        <v>46327</v>
      </c>
      <c r="K1" s="46" t="n">
        <v>46357</v>
      </c>
      <c r="L1" s="46" t="n">
        <v>46388</v>
      </c>
      <c r="M1" s="46" t="n">
        <v>46419</v>
      </c>
      <c r="N1" s="46" t="n">
        <v>46447</v>
      </c>
      <c r="O1" s="46" t="n">
        <v>46478</v>
      </c>
      <c r="P1" s="46" t="inlineStr">
        <is>
          <t>Totais</t>
        </is>
      </c>
    </row>
    <row r="2" ht="13.9" customHeight="1" s="276">
      <c r="A2" s="48" t="n">
        <v>1</v>
      </c>
      <c r="B2" s="49" t="inlineStr">
        <is>
          <t>Parcelas</t>
        </is>
      </c>
      <c r="C2" s="50" t="n"/>
      <c r="D2" s="346">
        <f>E93</f>
        <v/>
      </c>
      <c r="E2" s="347">
        <f>1499855+1499855</f>
        <v/>
      </c>
      <c r="F2" s="347" t="n">
        <v>0</v>
      </c>
      <c r="G2" s="347" t="n">
        <v>1499855</v>
      </c>
      <c r="H2" s="347" t="n">
        <v>0</v>
      </c>
      <c r="I2" s="347" t="n">
        <v>0</v>
      </c>
      <c r="J2" s="347" t="n">
        <v>2249783</v>
      </c>
      <c r="K2" s="347" t="n">
        <v>0</v>
      </c>
      <c r="L2" s="347" t="n">
        <v>0</v>
      </c>
      <c r="M2" s="347" t="n">
        <v>2249783</v>
      </c>
      <c r="N2" s="347" t="n">
        <v>0</v>
      </c>
      <c r="O2" s="347" t="n">
        <v>749925</v>
      </c>
      <c r="P2" s="348">
        <f>SUM(D2:O2)</f>
        <v/>
      </c>
    </row>
    <row r="3" ht="13.9" customHeight="1" s="276">
      <c r="A3" s="51" t="inlineStr">
        <is>
          <t>N˚</t>
        </is>
      </c>
      <c r="B3" s="284" t="inlineStr">
        <is>
          <t>Despesas</t>
        </is>
      </c>
      <c r="C3" s="257" t="n"/>
      <c r="D3" s="255" t="n"/>
      <c r="E3" s="52">
        <f>E1</f>
        <v/>
      </c>
      <c r="F3" s="52">
        <f>F1</f>
        <v/>
      </c>
      <c r="G3" s="52">
        <f>G1</f>
        <v/>
      </c>
      <c r="H3" s="52">
        <f>H1</f>
        <v/>
      </c>
      <c r="I3" s="52">
        <f>I1</f>
        <v/>
      </c>
      <c r="J3" s="52">
        <f>J1</f>
        <v/>
      </c>
      <c r="K3" s="52">
        <f>K1</f>
        <v/>
      </c>
      <c r="L3" s="52">
        <f>L1</f>
        <v/>
      </c>
      <c r="M3" s="52">
        <f>M1</f>
        <v/>
      </c>
      <c r="N3" s="52">
        <f>N1</f>
        <v/>
      </c>
      <c r="O3" s="52">
        <f>O1</f>
        <v/>
      </c>
      <c r="P3" s="53" t="inlineStr">
        <is>
          <t>Totais</t>
        </is>
      </c>
    </row>
    <row r="4" ht="13.9" customFormat="1" customHeight="1" s="54">
      <c r="A4" s="48" t="n">
        <v>1</v>
      </c>
      <c r="B4" s="286" t="inlineStr">
        <is>
          <t>Alberto Hauch Martinho</t>
        </is>
      </c>
      <c r="C4" s="257" t="n"/>
      <c r="D4" s="255" t="n"/>
      <c r="E4" s="349">
        <f>3173.83</f>
        <v/>
      </c>
      <c r="F4" s="349">
        <f>3173.83</f>
        <v/>
      </c>
      <c r="G4" s="349" t="n"/>
      <c r="H4" s="349" t="n"/>
      <c r="I4" s="349" t="n"/>
      <c r="J4" s="349" t="n"/>
      <c r="K4" s="349" t="n"/>
      <c r="L4" s="349" t="n"/>
      <c r="M4" s="349" t="n"/>
      <c r="N4" s="349" t="n"/>
      <c r="O4" s="349" t="n"/>
      <c r="P4" s="350">
        <f>SUM(E4:O4)</f>
        <v/>
      </c>
    </row>
    <row r="5" ht="13.9" customFormat="1" customHeight="1" s="54">
      <c r="A5" s="48">
        <f>A4+1</f>
        <v/>
      </c>
      <c r="B5" s="286" t="inlineStr">
        <is>
          <t>Alyne Zelinda de Barros</t>
        </is>
      </c>
      <c r="C5" s="257" t="n"/>
      <c r="D5" s="255" t="n"/>
      <c r="E5" s="349">
        <f>3548.24</f>
        <v/>
      </c>
      <c r="F5" s="349">
        <f>3548.24</f>
        <v/>
      </c>
      <c r="G5" s="349" t="n"/>
      <c r="H5" s="349" t="n"/>
      <c r="I5" s="349" t="n"/>
      <c r="J5" s="349" t="n"/>
      <c r="K5" s="349" t="n"/>
      <c r="L5" s="349" t="n"/>
      <c r="M5" s="349" t="n"/>
      <c r="N5" s="349" t="n"/>
      <c r="O5" s="349" t="n"/>
      <c r="P5" s="350">
        <f>SUM(E5:O5)</f>
        <v/>
      </c>
    </row>
    <row r="6" ht="13.9" customFormat="1" customHeight="1" s="54">
      <c r="A6" s="48">
        <f>A5+1</f>
        <v/>
      </c>
      <c r="B6" s="286" t="inlineStr">
        <is>
          <t>Davyd Carlos Martins</t>
        </is>
      </c>
      <c r="C6" s="257" t="n"/>
      <c r="D6" s="255" t="n"/>
      <c r="E6" s="349">
        <f>7652.5+797.57</f>
        <v/>
      </c>
      <c r="F6" s="349">
        <f>7652.5+797.57</f>
        <v/>
      </c>
      <c r="G6" s="349" t="n"/>
      <c r="H6" s="349" t="n"/>
      <c r="I6" s="349" t="n"/>
      <c r="J6" s="349" t="n"/>
      <c r="K6" s="349" t="n"/>
      <c r="L6" s="349" t="n"/>
      <c r="M6" s="349" t="n"/>
      <c r="N6" s="349" t="n"/>
      <c r="O6" s="349" t="n"/>
      <c r="P6" s="350">
        <f>SUM(E6:O6)</f>
        <v/>
      </c>
    </row>
    <row r="7" ht="13.9" customFormat="1" customHeight="1" s="54">
      <c r="A7" s="48">
        <f>A6+1</f>
        <v/>
      </c>
      <c r="B7" s="286" t="inlineStr">
        <is>
          <t>Débora Cristina Siridakis Correa</t>
        </is>
      </c>
      <c r="C7" s="257" t="n"/>
      <c r="D7" s="255" t="n"/>
      <c r="E7" s="349">
        <f>4813.76+288.83</f>
        <v/>
      </c>
      <c r="F7" s="349">
        <f>4813.76+288.83</f>
        <v/>
      </c>
      <c r="G7" s="349" t="n"/>
      <c r="H7" s="349" t="n"/>
      <c r="I7" s="349" t="n"/>
      <c r="J7" s="349" t="n"/>
      <c r="K7" s="349" t="n"/>
      <c r="L7" s="349" t="n"/>
      <c r="M7" s="349" t="n"/>
      <c r="N7" s="349" t="n"/>
      <c r="O7" s="349" t="n"/>
      <c r="P7" s="350">
        <f>SUM(E7:O7)</f>
        <v/>
      </c>
    </row>
    <row r="8" ht="13.9" customFormat="1" customHeight="1" s="54">
      <c r="A8" s="48">
        <f>A7+1</f>
        <v/>
      </c>
      <c r="B8" s="286" t="inlineStr">
        <is>
          <t>Gabriel da Cunha Lima</t>
        </is>
      </c>
      <c r="C8" s="257" t="n"/>
      <c r="D8" s="255" t="n"/>
      <c r="E8" s="349">
        <f>3721.04</f>
        <v/>
      </c>
      <c r="F8" s="349">
        <f>3721.04</f>
        <v/>
      </c>
      <c r="G8" s="349" t="n"/>
      <c r="H8" s="349" t="n"/>
      <c r="I8" s="349" t="n"/>
      <c r="J8" s="349" t="n"/>
      <c r="K8" s="349" t="n"/>
      <c r="L8" s="349" t="n"/>
      <c r="M8" s="349" t="n"/>
      <c r="N8" s="349" t="n"/>
      <c r="O8" s="349" t="n"/>
      <c r="P8" s="350">
        <f>SUM(E8:O8)</f>
        <v/>
      </c>
    </row>
    <row r="9" ht="13.9" customFormat="1" customHeight="1" s="54">
      <c r="A9" s="48">
        <f>A8+1</f>
        <v/>
      </c>
      <c r="B9" s="286" t="inlineStr">
        <is>
          <t>Graziane da Rocha Silveira</t>
        </is>
      </c>
      <c r="C9" s="257" t="n"/>
      <c r="D9" s="255" t="n"/>
      <c r="E9" s="349">
        <f>4297.8+257.87</f>
        <v/>
      </c>
      <c r="F9" s="349">
        <f>4297.8+257.87</f>
        <v/>
      </c>
      <c r="G9" s="349" t="n"/>
      <c r="H9" s="349" t="n"/>
      <c r="I9" s="349" t="n"/>
      <c r="J9" s="349" t="n"/>
      <c r="K9" s="349" t="n"/>
      <c r="L9" s="349" t="n"/>
      <c r="M9" s="349" t="n"/>
      <c r="N9" s="349" t="n"/>
      <c r="O9" s="349" t="n"/>
      <c r="P9" s="350">
        <f>SUM(E9:O9)</f>
        <v/>
      </c>
    </row>
    <row r="10" ht="13.9" customFormat="1" customHeight="1" s="54">
      <c r="A10" s="48">
        <f>A9+1</f>
        <v/>
      </c>
      <c r="B10" s="286" t="inlineStr">
        <is>
          <t>Inês Peglow</t>
        </is>
      </c>
      <c r="C10" s="257" t="n"/>
      <c r="D10" s="255" t="n"/>
      <c r="E10" s="349">
        <f>3907.09+801.71+423.79</f>
        <v/>
      </c>
      <c r="F10" s="349">
        <f>3907.09+801.71+423.79</f>
        <v/>
      </c>
      <c r="G10" s="349" t="n"/>
      <c r="H10" s="349" t="n"/>
      <c r="I10" s="349" t="n"/>
      <c r="J10" s="349" t="n"/>
      <c r="K10" s="349" t="n"/>
      <c r="L10" s="349" t="n"/>
      <c r="M10" s="349" t="n"/>
      <c r="N10" s="349" t="n"/>
      <c r="O10" s="349" t="n"/>
      <c r="P10" s="350">
        <f>SUM(E10:O10)</f>
        <v/>
      </c>
    </row>
    <row r="11" ht="13.9" customFormat="1" customHeight="1" s="54">
      <c r="A11" s="48">
        <f>A10+1</f>
        <v/>
      </c>
      <c r="B11" s="286" t="inlineStr">
        <is>
          <t>Karin Cristina Amorim</t>
        </is>
      </c>
      <c r="C11" s="257" t="n"/>
      <c r="D11" s="255" t="n"/>
      <c r="E11" s="349">
        <f>3597.65+431.72</f>
        <v/>
      </c>
      <c r="F11" s="349">
        <f>3597.65+431.72</f>
        <v/>
      </c>
      <c r="G11" s="349" t="n"/>
      <c r="H11" s="349" t="n"/>
      <c r="I11" s="349" t="n"/>
      <c r="J11" s="349" t="n"/>
      <c r="K11" s="349" t="n"/>
      <c r="L11" s="349" t="n"/>
      <c r="M11" s="349" t="n"/>
      <c r="N11" s="349" t="n"/>
      <c r="O11" s="349" t="n"/>
      <c r="P11" s="350">
        <f>SUM(E11:O11)</f>
        <v/>
      </c>
    </row>
    <row r="12" ht="13.9" customFormat="1" customHeight="1" s="54">
      <c r="A12" s="48">
        <f>A11+1</f>
        <v/>
      </c>
      <c r="B12" s="286" t="inlineStr">
        <is>
          <t>Lara Caldeira de Andrade e Silva</t>
        </is>
      </c>
      <c r="C12" s="257" t="n"/>
      <c r="D12" s="255" t="n"/>
      <c r="E12" s="349">
        <f>3907.09+234.43</f>
        <v/>
      </c>
      <c r="F12" s="349">
        <f>3907.09+234.43</f>
        <v/>
      </c>
      <c r="G12" s="349" t="n"/>
      <c r="H12" s="349" t="n"/>
      <c r="I12" s="349" t="n"/>
      <c r="J12" s="349" t="n"/>
      <c r="K12" s="349" t="n"/>
      <c r="L12" s="349" t="n"/>
      <c r="M12" s="349" t="n"/>
      <c r="N12" s="349" t="n"/>
      <c r="O12" s="349" t="n"/>
      <c r="P12" s="350">
        <f>SUM(E12:O12)</f>
        <v/>
      </c>
    </row>
    <row r="13" ht="13.9" customFormat="1" customHeight="1" s="54">
      <c r="A13" s="48">
        <f>A12+1</f>
        <v/>
      </c>
      <c r="B13" s="286" t="inlineStr">
        <is>
          <t>Lisiane do Carmo Nascimento de Oliveira Bispo</t>
        </is>
      </c>
      <c r="C13" s="257" t="n"/>
      <c r="D13" s="255" t="n"/>
      <c r="E13" s="349">
        <f>2606.08</f>
        <v/>
      </c>
      <c r="F13" s="349">
        <f>2606.08</f>
        <v/>
      </c>
      <c r="G13" s="349" t="n"/>
      <c r="H13" s="349" t="n"/>
      <c r="I13" s="349" t="n"/>
      <c r="J13" s="349" t="n"/>
      <c r="K13" s="349" t="n"/>
      <c r="L13" s="349" t="n"/>
      <c r="M13" s="349" t="n"/>
      <c r="N13" s="349" t="n"/>
      <c r="O13" s="349" t="n"/>
      <c r="P13" s="350">
        <f>SUM(E13:O13)</f>
        <v/>
      </c>
    </row>
    <row r="14" ht="13.9" customFormat="1" customHeight="1" s="54">
      <c r="A14" s="48">
        <f>A13+1</f>
        <v/>
      </c>
      <c r="B14" s="286" t="inlineStr">
        <is>
          <t>Mara Regina Bernardini</t>
        </is>
      </c>
      <c r="C14" s="257" t="n"/>
      <c r="D14" s="255" t="n"/>
      <c r="E14" s="349">
        <f>4626.83+694.02</f>
        <v/>
      </c>
      <c r="F14" s="349">
        <f>4626.83+694.02</f>
        <v/>
      </c>
      <c r="G14" s="349" t="n"/>
      <c r="H14" s="349" t="n"/>
      <c r="I14" s="349" t="n"/>
      <c r="J14" s="349" t="n"/>
      <c r="K14" s="349" t="n"/>
      <c r="L14" s="349" t="n"/>
      <c r="M14" s="349" t="n"/>
      <c r="N14" s="349" t="n"/>
      <c r="O14" s="349" t="n"/>
      <c r="P14" s="350">
        <f>SUM(E14:O14)</f>
        <v/>
      </c>
    </row>
    <row r="15" ht="13.9" customFormat="1" customHeight="1" s="54">
      <c r="A15" s="48">
        <f>A14+1</f>
        <v/>
      </c>
      <c r="B15" s="286" t="inlineStr">
        <is>
          <t>Marcos Antonio Braga</t>
        </is>
      </c>
      <c r="C15" s="257" t="n"/>
      <c r="D15" s="255" t="n"/>
      <c r="E15" s="349">
        <f>3548.24+638.68</f>
        <v/>
      </c>
      <c r="F15" s="349">
        <f>3548.24+638.68</f>
        <v/>
      </c>
      <c r="G15" s="349" t="n"/>
      <c r="H15" s="349" t="n"/>
      <c r="I15" s="349" t="n"/>
      <c r="J15" s="349" t="n"/>
      <c r="K15" s="349" t="n"/>
      <c r="L15" s="349" t="n"/>
      <c r="M15" s="349" t="n"/>
      <c r="N15" s="349" t="n"/>
      <c r="O15" s="349" t="n"/>
      <c r="P15" s="350">
        <f>SUM(E15:O15)</f>
        <v/>
      </c>
    </row>
    <row r="16" ht="13.9" customFormat="1" customHeight="1" s="54">
      <c r="A16" s="48">
        <f>A15+1</f>
        <v/>
      </c>
      <c r="B16" s="286" t="inlineStr">
        <is>
          <t>Marta Cristiani de Avila Rosa</t>
        </is>
      </c>
      <c r="C16" s="257" t="n"/>
      <c r="D16" s="255" t="n"/>
      <c r="E16" s="349">
        <f>3907.09+351.64</f>
        <v/>
      </c>
      <c r="F16" s="349">
        <f>3907.09+351.64</f>
        <v/>
      </c>
      <c r="G16" s="349" t="n"/>
      <c r="H16" s="349" t="n"/>
      <c r="I16" s="349" t="n"/>
      <c r="J16" s="349" t="n"/>
      <c r="K16" s="349" t="n"/>
      <c r="L16" s="349" t="n"/>
      <c r="M16" s="349" t="n"/>
      <c r="N16" s="349" t="n"/>
      <c r="O16" s="349" t="n"/>
      <c r="P16" s="350">
        <f>SUM(E16:O16)</f>
        <v/>
      </c>
    </row>
    <row r="17" ht="13.9" customFormat="1" customHeight="1" s="54">
      <c r="A17" s="48">
        <f>A16+1</f>
        <v/>
      </c>
      <c r="B17" s="286" t="inlineStr">
        <is>
          <t>Pedro Marques Abdo</t>
        </is>
      </c>
      <c r="C17" s="257" t="n"/>
      <c r="D17" s="255" t="n"/>
      <c r="E17" s="349">
        <f>3943.75+236.62</f>
        <v/>
      </c>
      <c r="F17" s="349">
        <f>3943.75+236.62</f>
        <v/>
      </c>
      <c r="G17" s="349" t="n"/>
      <c r="H17" s="349" t="n"/>
      <c r="I17" s="349" t="n"/>
      <c r="J17" s="349" t="n"/>
      <c r="K17" s="349" t="n"/>
      <c r="L17" s="349" t="n"/>
      <c r="M17" s="349" t="n"/>
      <c r="N17" s="349" t="n"/>
      <c r="O17" s="349" t="n"/>
      <c r="P17" s="350">
        <f>SUM(E17:O17)</f>
        <v/>
      </c>
    </row>
    <row r="18" ht="13.9" customFormat="1" customHeight="1" s="54">
      <c r="A18" s="48">
        <f>A17+1</f>
        <v/>
      </c>
      <c r="B18" s="286" t="inlineStr">
        <is>
          <t>Renilda de Quadros</t>
        </is>
      </c>
      <c r="C18" s="257" t="n"/>
      <c r="D18" s="255" t="n"/>
      <c r="E18" s="349">
        <f>4022.64+603.4</f>
        <v/>
      </c>
      <c r="F18" s="349">
        <f>4022.64+603.4</f>
        <v/>
      </c>
      <c r="G18" s="349" t="n"/>
      <c r="H18" s="349" t="n"/>
      <c r="I18" s="349" t="n"/>
      <c r="J18" s="349" t="n"/>
      <c r="K18" s="349" t="n"/>
      <c r="L18" s="349" t="n"/>
      <c r="M18" s="349" t="n"/>
      <c r="N18" s="349" t="n"/>
      <c r="O18" s="349" t="n"/>
      <c r="P18" s="350">
        <f>SUM(E18:O18)</f>
        <v/>
      </c>
    </row>
    <row r="19" ht="13.9" customFormat="1" customHeight="1" s="54">
      <c r="A19" s="48">
        <f>A18+1</f>
        <v/>
      </c>
      <c r="B19" s="286" t="inlineStr">
        <is>
          <t>Rithyelen Aliny da Silveira</t>
        </is>
      </c>
      <c r="C19" s="257" t="n"/>
      <c r="D19" s="255" t="n"/>
      <c r="E19" s="349">
        <f>3907.09+351.64</f>
        <v/>
      </c>
      <c r="F19" s="349">
        <f>3907.09+351.64</f>
        <v/>
      </c>
      <c r="G19" s="349" t="n"/>
      <c r="H19" s="349" t="n"/>
      <c r="I19" s="349" t="n"/>
      <c r="J19" s="349" t="n"/>
      <c r="K19" s="349" t="n"/>
      <c r="L19" s="349" t="n"/>
      <c r="M19" s="349" t="n"/>
      <c r="N19" s="349" t="n"/>
      <c r="O19" s="349" t="n"/>
      <c r="P19" s="350">
        <f>SUM(E19:O19)</f>
        <v/>
      </c>
    </row>
    <row r="20" ht="13.9" customFormat="1" customHeight="1" s="54">
      <c r="A20" s="48">
        <f>A19+1</f>
        <v/>
      </c>
      <c r="B20" s="286" t="inlineStr">
        <is>
          <t>Thiago de Almeida Rebollo</t>
        </is>
      </c>
      <c r="C20" s="257" t="n"/>
      <c r="D20" s="255" t="n"/>
      <c r="E20" s="349" t="n">
        <v>3550.24</v>
      </c>
      <c r="F20" s="349" t="n">
        <v>3551.24</v>
      </c>
      <c r="G20" s="349" t="n"/>
      <c r="H20" s="349" t="n"/>
      <c r="I20" s="349" t="n"/>
      <c r="J20" s="349" t="n"/>
      <c r="K20" s="349" t="n"/>
      <c r="L20" s="349" t="n"/>
      <c r="M20" s="349" t="n"/>
      <c r="N20" s="349" t="n"/>
      <c r="O20" s="349" t="n"/>
      <c r="P20" s="350">
        <f>SUM(E20:O20)</f>
        <v/>
      </c>
    </row>
    <row r="21" ht="13.9" customFormat="1" customHeight="1" s="54">
      <c r="A21" s="48">
        <f>A20+1</f>
        <v/>
      </c>
      <c r="B21" s="289" t="inlineStr">
        <is>
          <t>Alexandre Garcez Nunes</t>
        </is>
      </c>
      <c r="C21" s="257" t="n"/>
      <c r="D21" s="255" t="n"/>
      <c r="E21" s="349">
        <f>12180.93+730.88</f>
        <v/>
      </c>
      <c r="F21" s="349">
        <f>12180.93+730.88</f>
        <v/>
      </c>
      <c r="G21" s="349" t="n"/>
      <c r="H21" s="349" t="n"/>
      <c r="I21" s="349" t="n"/>
      <c r="J21" s="349" t="n"/>
      <c r="K21" s="349" t="n"/>
      <c r="L21" s="349" t="n"/>
      <c r="M21" s="349" t="n"/>
      <c r="N21" s="349" t="n"/>
      <c r="O21" s="349" t="n"/>
      <c r="P21" s="350">
        <f>SUM(E21:O21)</f>
        <v/>
      </c>
    </row>
    <row r="22" ht="13.9" customFormat="1" customHeight="1" s="54">
      <c r="A22" s="48">
        <f>A21+1</f>
        <v/>
      </c>
      <c r="B22" s="289" t="inlineStr">
        <is>
          <t>Bruno Maluche Neto</t>
        </is>
      </c>
      <c r="C22" s="257" t="n"/>
      <c r="D22" s="255" t="n"/>
      <c r="E22" s="349">
        <f>(19765.28+4743.67)*$Q$22</f>
        <v/>
      </c>
      <c r="F22" s="349">
        <f>(19765.28+4743.67)*$Q$22</f>
        <v/>
      </c>
      <c r="G22" s="349" t="n"/>
      <c r="H22" s="349" t="n"/>
      <c r="I22" s="349" t="n"/>
      <c r="J22" s="349" t="n"/>
      <c r="K22" s="349" t="n"/>
      <c r="L22" s="349" t="n"/>
      <c r="M22" s="349" t="n"/>
      <c r="N22" s="349" t="n"/>
      <c r="O22" s="349" t="n"/>
      <c r="P22" s="350">
        <f>SUM(E22:O22)</f>
        <v/>
      </c>
      <c r="Q22" s="54">
        <f>1-0.2574</f>
        <v/>
      </c>
    </row>
    <row r="23" ht="13.9" customFormat="1" customHeight="1" s="54">
      <c r="A23" s="48">
        <f>A22+1</f>
        <v/>
      </c>
      <c r="B23" s="289" t="inlineStr">
        <is>
          <t>Fernanda Miranda</t>
        </is>
      </c>
      <c r="C23" s="257" t="n"/>
      <c r="D23" s="255" t="n"/>
      <c r="E23" s="349">
        <f>10052.21+904.7</f>
        <v/>
      </c>
      <c r="F23" s="349">
        <f>10052.21+904.7</f>
        <v/>
      </c>
      <c r="G23" s="349" t="n"/>
      <c r="H23" s="349" t="n"/>
      <c r="I23" s="349" t="n"/>
      <c r="J23" s="349" t="n"/>
      <c r="K23" s="349" t="n"/>
      <c r="L23" s="349" t="n"/>
      <c r="M23" s="349" t="n"/>
      <c r="N23" s="349" t="n"/>
      <c r="O23" s="349" t="n"/>
      <c r="P23" s="350">
        <f>SUM(E23:O23)</f>
        <v/>
      </c>
    </row>
    <row r="24" ht="13.9" customFormat="1" customHeight="1" s="54">
      <c r="A24" s="48">
        <f>A23+1</f>
        <v/>
      </c>
      <c r="B24" s="289" t="inlineStr">
        <is>
          <t xml:space="preserve">Giseli de Sousa    </t>
        </is>
      </c>
      <c r="C24" s="257" t="n"/>
      <c r="D24" s="255" t="n"/>
      <c r="E24" s="349">
        <f>13593.2+1223.39</f>
        <v/>
      </c>
      <c r="F24" s="349">
        <f>13593.2+1223.39</f>
        <v/>
      </c>
      <c r="G24" s="349" t="n"/>
      <c r="H24" s="349" t="n"/>
      <c r="I24" s="349" t="n"/>
      <c r="J24" s="349" t="n"/>
      <c r="K24" s="349" t="n"/>
      <c r="L24" s="349" t="n"/>
      <c r="M24" s="349" t="n"/>
      <c r="N24" s="349" t="n"/>
      <c r="O24" s="349" t="n"/>
      <c r="P24" s="350">
        <f>SUM(E24:O24)</f>
        <v/>
      </c>
    </row>
    <row r="25" ht="13.9" customFormat="1" customHeight="1" s="54">
      <c r="A25" s="48">
        <f>A24+1</f>
        <v/>
      </c>
      <c r="B25" s="289" t="inlineStr">
        <is>
          <t>Joao Gabriel Crema</t>
        </is>
      </c>
      <c r="C25" s="257" t="n"/>
      <c r="D25" s="255" t="n"/>
      <c r="E25" s="349">
        <f>13592.7+2038.9</f>
        <v/>
      </c>
      <c r="F25" s="349">
        <f>13592.7+2038.9</f>
        <v/>
      </c>
      <c r="G25" s="349" t="n"/>
      <c r="H25" s="349" t="n"/>
      <c r="I25" s="349" t="n"/>
      <c r="J25" s="349" t="n"/>
      <c r="K25" s="349" t="n"/>
      <c r="L25" s="349" t="n"/>
      <c r="M25" s="349" t="n"/>
      <c r="N25" s="349" t="n"/>
      <c r="O25" s="349" t="n"/>
      <c r="P25" s="350">
        <f>SUM(E25:O25)</f>
        <v/>
      </c>
    </row>
    <row r="26" ht="13.9" customFormat="1" customHeight="1" s="54">
      <c r="A26" s="48">
        <f>A25+1</f>
        <v/>
      </c>
      <c r="B26" s="289" t="inlineStr">
        <is>
          <t>Josivan Laskoski</t>
        </is>
      </c>
      <c r="C26" s="257" t="n"/>
      <c r="D26" s="255" t="n"/>
      <c r="E26" s="349">
        <f>17670.52+2120.46</f>
        <v/>
      </c>
      <c r="F26" s="349">
        <f>17670.52+2120.46</f>
        <v/>
      </c>
      <c r="G26" s="349" t="n"/>
      <c r="H26" s="349" t="n"/>
      <c r="I26" s="349" t="n"/>
      <c r="J26" s="349" t="n"/>
      <c r="K26" s="349" t="n"/>
      <c r="L26" s="349" t="n"/>
      <c r="M26" s="349" t="n"/>
      <c r="N26" s="349" t="n"/>
      <c r="O26" s="349" t="n"/>
      <c r="P26" s="350">
        <f>SUM(E26:O26)</f>
        <v/>
      </c>
    </row>
    <row r="27" ht="13.9" customFormat="1" customHeight="1" s="54">
      <c r="A27" s="48">
        <f>A26+1</f>
        <v/>
      </c>
      <c r="B27" s="289" t="inlineStr">
        <is>
          <t>Marcelo Maciel Pereira</t>
        </is>
      </c>
      <c r="C27" s="257" t="n"/>
      <c r="D27" s="255" t="n"/>
      <c r="E27" s="349">
        <f>(11583.15+2779.96)*$Q$27</f>
        <v/>
      </c>
      <c r="F27" s="349">
        <f>(11583.15+2779.96)*$Q$27</f>
        <v/>
      </c>
      <c r="G27" s="349" t="n"/>
      <c r="H27" s="349" t="n"/>
      <c r="I27" s="349" t="n"/>
      <c r="J27" s="349" t="n"/>
      <c r="K27" s="349" t="n"/>
      <c r="L27" s="349" t="n"/>
      <c r="M27" s="349" t="n"/>
      <c r="N27" s="349" t="n"/>
      <c r="O27" s="349" t="n"/>
      <c r="P27" s="350">
        <f>SUM(E27:O27)</f>
        <v/>
      </c>
      <c r="Q27" s="54">
        <f>1-0.7862</f>
        <v/>
      </c>
    </row>
    <row r="28" ht="13.9" customFormat="1" customHeight="1" s="54">
      <c r="A28" s="48">
        <f>A27+1</f>
        <v/>
      </c>
      <c r="B28" s="289" t="inlineStr">
        <is>
          <t>Morgana Leite</t>
        </is>
      </c>
      <c r="C28" s="257" t="n"/>
      <c r="D28" s="255" t="n"/>
      <c r="E28" s="349">
        <f>5994.65+539.52</f>
        <v/>
      </c>
      <c r="F28" s="349">
        <f>5994.65+539.52</f>
        <v/>
      </c>
      <c r="G28" s="349" t="n"/>
      <c r="H28" s="349" t="n"/>
      <c r="I28" s="349" t="n"/>
      <c r="J28" s="349" t="n"/>
      <c r="K28" s="349" t="n"/>
      <c r="L28" s="349" t="n"/>
      <c r="M28" s="349" t="n"/>
      <c r="N28" s="349" t="n"/>
      <c r="O28" s="349" t="n"/>
      <c r="P28" s="350">
        <f>SUM(E28:O28)</f>
        <v/>
      </c>
    </row>
    <row r="29" ht="13.9" customFormat="1" customHeight="1" s="54">
      <c r="A29" s="48">
        <f>A28+1</f>
        <v/>
      </c>
      <c r="B29" s="289" t="inlineStr">
        <is>
          <t>Rafael Berretta</t>
        </is>
      </c>
      <c r="C29" s="257" t="n"/>
      <c r="D29" s="255" t="n"/>
      <c r="E29" s="349">
        <f>5341.55+480.74</f>
        <v/>
      </c>
      <c r="F29" s="349">
        <f>5341.55+480.74</f>
        <v/>
      </c>
      <c r="G29" s="349" t="n"/>
      <c r="H29" s="349" t="n"/>
      <c r="I29" s="349" t="n"/>
      <c r="J29" s="349" t="n"/>
      <c r="K29" s="349" t="n"/>
      <c r="L29" s="349" t="n"/>
      <c r="M29" s="349" t="n"/>
      <c r="N29" s="349" t="n"/>
      <c r="O29" s="349" t="n"/>
      <c r="P29" s="350">
        <f>SUM(E29:O29)</f>
        <v/>
      </c>
    </row>
    <row r="30" ht="13.9" customFormat="1" customHeight="1" s="54">
      <c r="A30" s="48">
        <f>A29+1</f>
        <v/>
      </c>
      <c r="B30" s="289" t="inlineStr">
        <is>
          <t>Thaysa Momm Bastos</t>
        </is>
      </c>
      <c r="C30" s="257" t="n"/>
      <c r="D30" s="255" t="n"/>
      <c r="E30" s="349">
        <f>(6794.33+407.66)*$Q$30</f>
        <v/>
      </c>
      <c r="F30" s="349">
        <f>(6794.33+407.66)*$Q$30</f>
        <v/>
      </c>
      <c r="G30" s="349" t="n"/>
      <c r="H30" s="349" t="n"/>
      <c r="I30" s="349" t="n"/>
      <c r="J30" s="349" t="n"/>
      <c r="K30" s="349" t="n"/>
      <c r="L30" s="349" t="n"/>
      <c r="M30" s="349" t="n"/>
      <c r="N30" s="349" t="n"/>
      <c r="O30" s="349" t="n"/>
      <c r="P30" s="350">
        <f>SUM(E30:O30)</f>
        <v/>
      </c>
      <c r="Q30" s="54">
        <f>1-0.8144</f>
        <v/>
      </c>
    </row>
    <row r="31" ht="13.9" customFormat="1" customHeight="1" s="54">
      <c r="A31" s="48">
        <f>A30+1</f>
        <v/>
      </c>
      <c r="B31" s="287" t="inlineStr">
        <is>
          <t>Alexandre Gonçalves</t>
        </is>
      </c>
      <c r="C31" s="257" t="n"/>
      <c r="D31" s="255" t="n"/>
      <c r="E31" s="349">
        <f>6153.88+369.23</f>
        <v/>
      </c>
      <c r="F31" s="349">
        <f>6153.88+369.23</f>
        <v/>
      </c>
      <c r="G31" s="349" t="n"/>
      <c r="H31" s="349" t="n"/>
      <c r="I31" s="349" t="n"/>
      <c r="J31" s="349" t="n"/>
      <c r="K31" s="349" t="n"/>
      <c r="L31" s="349" t="n"/>
      <c r="M31" s="349" t="n"/>
      <c r="N31" s="349" t="n"/>
      <c r="O31" s="349" t="n"/>
      <c r="P31" s="350">
        <f>SUM(E31:O31)</f>
        <v/>
      </c>
    </row>
    <row r="32" ht="13.9" customFormat="1" customHeight="1" s="54">
      <c r="A32" s="48">
        <f>A31+1</f>
        <v/>
      </c>
      <c r="B32" s="287" t="inlineStr">
        <is>
          <t>Aline Martins de Souza</t>
        </is>
      </c>
      <c r="C32" s="257" t="n"/>
      <c r="D32" s="255" t="n"/>
      <c r="E32" s="349">
        <f>5335.31+320.12</f>
        <v/>
      </c>
      <c r="F32" s="349">
        <f>5335.31+320.12</f>
        <v/>
      </c>
      <c r="G32" s="349" t="n"/>
      <c r="H32" s="349" t="n"/>
      <c r="I32" s="349" t="n"/>
      <c r="J32" s="349" t="n"/>
      <c r="K32" s="349" t="n"/>
      <c r="L32" s="349" t="n"/>
      <c r="M32" s="349" t="n"/>
      <c r="N32" s="349" t="n"/>
      <c r="O32" s="349" t="n"/>
      <c r="P32" s="350">
        <f>SUM(E32:O32)</f>
        <v/>
      </c>
    </row>
    <row r="33" ht="13.9" customFormat="1" customHeight="1" s="54">
      <c r="A33" s="48">
        <f>A32+1</f>
        <v/>
      </c>
      <c r="B33" s="287" t="inlineStr">
        <is>
          <t>Daniel Vieira Machado</t>
        </is>
      </c>
      <c r="C33" s="257" t="n"/>
      <c r="D33" s="255" t="n"/>
      <c r="E33" s="349">
        <f>12893.4</f>
        <v/>
      </c>
      <c r="F33" s="349">
        <f>12893.4</f>
        <v/>
      </c>
      <c r="G33" s="349" t="n"/>
      <c r="H33" s="349" t="n"/>
      <c r="I33" s="349" t="n"/>
      <c r="J33" s="349" t="n"/>
      <c r="K33" s="349" t="n"/>
      <c r="L33" s="349" t="n"/>
      <c r="M33" s="349" t="n"/>
      <c r="N33" s="349" t="n"/>
      <c r="O33" s="349" t="n"/>
      <c r="P33" s="350">
        <f>SUM(E33:O33)</f>
        <v/>
      </c>
    </row>
    <row r="34" ht="13.9" customFormat="1" customHeight="1" s="54">
      <c r="A34" s="48">
        <f>A33+1</f>
        <v/>
      </c>
      <c r="B34" s="287" t="inlineStr">
        <is>
          <t>Danilo Franklin Leite Lopes</t>
        </is>
      </c>
      <c r="C34" s="257" t="n"/>
      <c r="D34" s="255" t="n"/>
      <c r="E34" s="349">
        <f>7551.52</f>
        <v/>
      </c>
      <c r="F34" s="349">
        <f>7551.52</f>
        <v/>
      </c>
      <c r="G34" s="349" t="n"/>
      <c r="H34" s="349" t="n"/>
      <c r="I34" s="349" t="n"/>
      <c r="J34" s="349" t="n"/>
      <c r="K34" s="349" t="n"/>
      <c r="L34" s="349" t="n"/>
      <c r="M34" s="349" t="n"/>
      <c r="N34" s="349" t="n"/>
      <c r="O34" s="349" t="n"/>
      <c r="P34" s="350">
        <f>SUM(E34:O34)</f>
        <v/>
      </c>
    </row>
    <row r="35" ht="13.9" customFormat="1" customHeight="1" s="54">
      <c r="A35" s="48">
        <f>A34+1</f>
        <v/>
      </c>
      <c r="B35" s="287" t="inlineStr">
        <is>
          <t>Débora Machado Gonçalves</t>
        </is>
      </c>
      <c r="C35" s="257" t="n"/>
      <c r="D35" s="255" t="n"/>
      <c r="E35" s="349">
        <f>5635.44</f>
        <v/>
      </c>
      <c r="F35" s="349">
        <f>5635.44</f>
        <v/>
      </c>
      <c r="G35" s="349" t="n"/>
      <c r="H35" s="349" t="n"/>
      <c r="I35" s="349" t="n"/>
      <c r="J35" s="349" t="n"/>
      <c r="K35" s="349" t="n"/>
      <c r="L35" s="349" t="n"/>
      <c r="M35" s="349" t="n"/>
      <c r="N35" s="349" t="n"/>
      <c r="O35" s="349" t="n"/>
      <c r="P35" s="350">
        <f>SUM(E35:O35)</f>
        <v/>
      </c>
    </row>
    <row r="36" ht="13.9" customFormat="1" customHeight="1" s="54">
      <c r="A36" s="48">
        <f>A35+1</f>
        <v/>
      </c>
      <c r="B36" s="287" t="inlineStr">
        <is>
          <t>Deucélia Eva Pedroso</t>
        </is>
      </c>
      <c r="C36" s="257" t="n"/>
      <c r="D36" s="255" t="n"/>
      <c r="E36" s="349">
        <f>14406.21+864.37</f>
        <v/>
      </c>
      <c r="F36" s="349">
        <f>14406.21+864.37</f>
        <v/>
      </c>
      <c r="G36" s="349" t="n"/>
      <c r="H36" s="349" t="n"/>
      <c r="I36" s="349" t="n"/>
      <c r="J36" s="349" t="n"/>
      <c r="K36" s="349" t="n"/>
      <c r="L36" s="349" t="n"/>
      <c r="M36" s="349" t="n"/>
      <c r="N36" s="349" t="n"/>
      <c r="O36" s="349" t="n"/>
      <c r="P36" s="350">
        <f>SUM(E36:O36)</f>
        <v/>
      </c>
    </row>
    <row r="37" ht="13.9" customFormat="1" customHeight="1" s="54">
      <c r="A37" s="48">
        <f>A36+1</f>
        <v/>
      </c>
      <c r="B37" s="287" t="inlineStr">
        <is>
          <t>Eder Tagveira dos Santos</t>
        </is>
      </c>
      <c r="C37" s="257" t="n"/>
      <c r="D37" s="255" t="n"/>
      <c r="E37" s="349" t="n">
        <v>10500</v>
      </c>
      <c r="F37" s="349" t="n">
        <v>10500</v>
      </c>
      <c r="G37" s="349" t="n"/>
      <c r="H37" s="349" t="n"/>
      <c r="I37" s="349" t="n"/>
      <c r="J37" s="349" t="n"/>
      <c r="K37" s="349" t="n"/>
      <c r="L37" s="349" t="n"/>
      <c r="M37" s="349" t="n"/>
      <c r="N37" s="349" t="n"/>
      <c r="O37" s="349" t="n"/>
      <c r="P37" s="350">
        <f>SUM(E37:O37)</f>
        <v/>
      </c>
    </row>
    <row r="38" ht="13.9" customFormat="1" customHeight="1" s="54">
      <c r="A38" s="48">
        <f>A37+1</f>
        <v/>
      </c>
      <c r="B38" s="287" t="inlineStr">
        <is>
          <t>Elizabeth Ventura da Silva</t>
        </is>
      </c>
      <c r="C38" s="257" t="n"/>
      <c r="D38" s="255" t="n"/>
      <c r="E38" s="349">
        <f>4615.4+553.85</f>
        <v/>
      </c>
      <c r="F38" s="349">
        <f>4615.4+553.85</f>
        <v/>
      </c>
      <c r="G38" s="349" t="n"/>
      <c r="H38" s="349" t="n"/>
      <c r="I38" s="349" t="n"/>
      <c r="J38" s="349" t="n"/>
      <c r="K38" s="349" t="n"/>
      <c r="L38" s="349" t="n"/>
      <c r="M38" s="349" t="n"/>
      <c r="N38" s="349" t="n"/>
      <c r="O38" s="349" t="n"/>
      <c r="P38" s="350">
        <f>SUM(E38:O38)</f>
        <v/>
      </c>
    </row>
    <row r="39" ht="13.9" customFormat="1" customHeight="1" s="54">
      <c r="A39" s="48">
        <f>A38+1</f>
        <v/>
      </c>
      <c r="B39" s="287" t="inlineStr">
        <is>
          <t>Érika Cavalcante de Souza Tartari</t>
        </is>
      </c>
      <c r="C39" s="257" t="n"/>
      <c r="D39" s="255" t="n"/>
      <c r="E39" s="349">
        <f>6566.54</f>
        <v/>
      </c>
      <c r="F39" s="349">
        <f>6566.54</f>
        <v/>
      </c>
      <c r="G39" s="349" t="n"/>
      <c r="H39" s="349" t="n"/>
      <c r="I39" s="349" t="n"/>
      <c r="J39" s="349" t="n"/>
      <c r="K39" s="349" t="n"/>
      <c r="L39" s="349" t="n"/>
      <c r="M39" s="349" t="n"/>
      <c r="N39" s="349" t="n"/>
      <c r="O39" s="349" t="n"/>
      <c r="P39" s="350">
        <f>SUM(E39:O39)</f>
        <v/>
      </c>
    </row>
    <row r="40" ht="13.9" customFormat="1" customHeight="1" s="54">
      <c r="A40" s="48">
        <f>A39+1</f>
        <v/>
      </c>
      <c r="B40" s="287" t="inlineStr">
        <is>
          <t>Gabriel Domingos Adriano</t>
        </is>
      </c>
      <c r="C40" s="257" t="n"/>
      <c r="D40" s="255" t="n"/>
      <c r="E40" s="349">
        <f>6019.33</f>
        <v/>
      </c>
      <c r="F40" s="349">
        <f>6019.33</f>
        <v/>
      </c>
      <c r="G40" s="349" t="n"/>
      <c r="H40" s="349" t="n"/>
      <c r="I40" s="349" t="n"/>
      <c r="J40" s="349" t="n"/>
      <c r="K40" s="349" t="n"/>
      <c r="L40" s="349" t="n"/>
      <c r="M40" s="349" t="n"/>
      <c r="N40" s="349" t="n"/>
      <c r="O40" s="349" t="n"/>
      <c r="P40" s="350">
        <f>SUM(E40:O40)</f>
        <v/>
      </c>
    </row>
    <row r="41" ht="13.9" customFormat="1" customHeight="1" s="54">
      <c r="A41" s="48">
        <f>A40+1</f>
        <v/>
      </c>
      <c r="B41" s="287" t="inlineStr">
        <is>
          <t>Gabriel Phillipe Ferreira Perpetuo</t>
        </is>
      </c>
      <c r="C41" s="257" t="n"/>
      <c r="D41" s="255" t="n"/>
      <c r="E41" s="349">
        <f>4487.14</f>
        <v/>
      </c>
      <c r="F41" s="349">
        <f>4487.14</f>
        <v/>
      </c>
      <c r="G41" s="349" t="n"/>
      <c r="H41" s="349" t="n"/>
      <c r="I41" s="349" t="n"/>
      <c r="J41" s="349" t="n"/>
      <c r="K41" s="349" t="n"/>
      <c r="L41" s="349" t="n"/>
      <c r="M41" s="349" t="n"/>
      <c r="N41" s="349" t="n"/>
      <c r="O41" s="349" t="n"/>
      <c r="P41" s="350">
        <f>SUM(E41:O41)</f>
        <v/>
      </c>
    </row>
    <row r="42" ht="13.9" customFormat="1" customHeight="1" s="54">
      <c r="A42" s="48">
        <f>A41+1</f>
        <v/>
      </c>
      <c r="B42" s="287" t="inlineStr">
        <is>
          <t>Gastão Cassel</t>
        </is>
      </c>
      <c r="C42" s="257" t="n"/>
      <c r="D42" s="255" t="n"/>
      <c r="E42" s="349">
        <f>11091.26+1330.95</f>
        <v/>
      </c>
      <c r="F42" s="349">
        <f>11091.26+1330.95</f>
        <v/>
      </c>
      <c r="G42" s="349" t="n"/>
      <c r="H42" s="349" t="n"/>
      <c r="I42" s="349" t="n"/>
      <c r="J42" s="349" t="n"/>
      <c r="K42" s="349" t="n"/>
      <c r="L42" s="349" t="n"/>
      <c r="M42" s="349" t="n"/>
      <c r="N42" s="349" t="n"/>
      <c r="O42" s="349" t="n"/>
      <c r="P42" s="350">
        <f>SUM(E42:O42)</f>
        <v/>
      </c>
    </row>
    <row r="43" ht="13.9" customFormat="1" customHeight="1" s="54">
      <c r="A43" s="48">
        <f>A42+1</f>
        <v/>
      </c>
      <c r="B43" s="287" t="inlineStr">
        <is>
          <t>Gustavo Garcia Otto</t>
        </is>
      </c>
      <c r="C43" s="257" t="n"/>
      <c r="D43" s="255" t="n"/>
      <c r="E43" s="349">
        <f>4906.09+735.91</f>
        <v/>
      </c>
      <c r="F43" s="349">
        <f>4906.09+735.91</f>
        <v/>
      </c>
      <c r="G43" s="349" t="n"/>
      <c r="H43" s="349" t="n"/>
      <c r="I43" s="349" t="n"/>
      <c r="J43" s="349" t="n"/>
      <c r="K43" s="349" t="n"/>
      <c r="L43" s="349" t="n"/>
      <c r="M43" s="349" t="n"/>
      <c r="N43" s="349" t="n"/>
      <c r="O43" s="349" t="n"/>
      <c r="P43" s="350">
        <f>SUM(E43:O43)</f>
        <v/>
      </c>
    </row>
    <row r="44" ht="13.9" customFormat="1" customHeight="1" s="54">
      <c r="A44" s="48">
        <f>A43+1</f>
        <v/>
      </c>
      <c r="B44" s="287" t="inlineStr">
        <is>
          <t>Irene Rios da Silva</t>
        </is>
      </c>
      <c r="C44" s="257" t="n"/>
      <c r="D44" s="255" t="n"/>
      <c r="E44" s="349">
        <f>12153.91+729.23</f>
        <v/>
      </c>
      <c r="F44" s="349">
        <f>12153.91+729.23</f>
        <v/>
      </c>
      <c r="G44" s="349" t="n"/>
      <c r="H44" s="349" t="n"/>
      <c r="I44" s="349" t="n"/>
      <c r="J44" s="349" t="n"/>
      <c r="K44" s="349" t="n"/>
      <c r="L44" s="349" t="n"/>
      <c r="M44" s="349" t="n"/>
      <c r="N44" s="349" t="n"/>
      <c r="O44" s="349" t="n"/>
      <c r="P44" s="350">
        <f>SUM(E44:O44)</f>
        <v/>
      </c>
    </row>
    <row r="45" ht="13.9" customFormat="1" customHeight="1" s="54">
      <c r="A45" s="48">
        <f>A44+1</f>
        <v/>
      </c>
      <c r="B45" s="287" t="inlineStr">
        <is>
          <t>João Luiz Martins</t>
        </is>
      </c>
      <c r="C45" s="257" t="n"/>
      <c r="D45" s="255" t="n"/>
      <c r="E45" s="349">
        <f>6347.66+380.86</f>
        <v/>
      </c>
      <c r="F45" s="349">
        <f>6347.66+380.86</f>
        <v/>
      </c>
      <c r="G45" s="349" t="n"/>
      <c r="H45" s="349" t="n"/>
      <c r="I45" s="349" t="n"/>
      <c r="J45" s="349" t="n"/>
      <c r="K45" s="349" t="n"/>
      <c r="L45" s="349" t="n"/>
      <c r="M45" s="349" t="n"/>
      <c r="N45" s="349" t="n"/>
      <c r="O45" s="349" t="n"/>
      <c r="P45" s="350">
        <f>SUM(E45:O45)</f>
        <v/>
      </c>
    </row>
    <row r="46" ht="13.9" customFormat="1" customHeight="1" s="54">
      <c r="A46" s="48">
        <f>A45+1</f>
        <v/>
      </c>
      <c r="B46" s="287" t="inlineStr">
        <is>
          <t>Jorge Luiz Silva Hermenegildo</t>
        </is>
      </c>
      <c r="C46" s="257" t="n"/>
      <c r="D46" s="255" t="n"/>
      <c r="E46" s="349">
        <f>20543.33+1232.6</f>
        <v/>
      </c>
      <c r="F46" s="349">
        <f>20543.33+1232.6</f>
        <v/>
      </c>
      <c r="G46" s="349" t="n"/>
      <c r="H46" s="349" t="n"/>
      <c r="I46" s="349" t="n"/>
      <c r="J46" s="349" t="n"/>
      <c r="K46" s="349" t="n"/>
      <c r="L46" s="349" t="n"/>
      <c r="M46" s="349" t="n"/>
      <c r="N46" s="349" t="n"/>
      <c r="O46" s="349" t="n"/>
      <c r="P46" s="350">
        <f>SUM(E46:O46)</f>
        <v/>
      </c>
    </row>
    <row r="47" ht="13.9" customFormat="1" customHeight="1" s="54">
      <c r="A47" s="48">
        <f>A46+1</f>
        <v/>
      </c>
      <c r="B47" s="287" t="inlineStr">
        <is>
          <t>Junior Mateus Alves Camargo</t>
        </is>
      </c>
      <c r="C47" s="257" t="n"/>
      <c r="D47" s="255" t="n"/>
      <c r="E47" s="349">
        <f>13351.96+400.56</f>
        <v/>
      </c>
      <c r="F47" s="349">
        <f>13351.96+400.56</f>
        <v/>
      </c>
      <c r="G47" s="349" t="n"/>
      <c r="H47" s="349" t="n"/>
      <c r="I47" s="349" t="n"/>
      <c r="J47" s="349" t="n"/>
      <c r="K47" s="349" t="n"/>
      <c r="L47" s="349" t="n"/>
      <c r="M47" s="349" t="n"/>
      <c r="N47" s="349" t="n"/>
      <c r="O47" s="349" t="n"/>
      <c r="P47" s="350">
        <f>SUM(E47:O47)</f>
        <v/>
      </c>
    </row>
    <row r="48" ht="13.9" customFormat="1" customHeight="1" s="54">
      <c r="A48" s="48">
        <f>A47+1</f>
        <v/>
      </c>
      <c r="B48" s="287" t="inlineStr">
        <is>
          <t>Keyla Junko Shinohara</t>
        </is>
      </c>
      <c r="C48" s="257" t="n"/>
      <c r="D48" s="255" t="n"/>
      <c r="E48" s="349">
        <f>16181.63+1941.8</f>
        <v/>
      </c>
      <c r="F48" s="349">
        <f>16181.63+1941.8</f>
        <v/>
      </c>
      <c r="G48" s="349" t="n"/>
      <c r="H48" s="349" t="n"/>
      <c r="I48" s="349" t="n"/>
      <c r="J48" s="349" t="n"/>
      <c r="K48" s="349" t="n"/>
      <c r="L48" s="349" t="n"/>
      <c r="M48" s="349" t="n"/>
      <c r="N48" s="349" t="n"/>
      <c r="O48" s="349" t="n"/>
      <c r="P48" s="350">
        <f>SUM(E48:O48)</f>
        <v/>
      </c>
    </row>
    <row r="49" ht="13.9" customFormat="1" customHeight="1" s="54">
      <c r="A49" s="48">
        <f>A48+1</f>
        <v/>
      </c>
      <c r="B49" s="287" t="inlineStr">
        <is>
          <t>Leia Mayer Eyng</t>
        </is>
      </c>
      <c r="C49" s="257" t="n"/>
      <c r="D49" s="255" t="n"/>
      <c r="E49" s="349">
        <f>7989.29</f>
        <v/>
      </c>
      <c r="F49" s="349">
        <f>7989.29</f>
        <v/>
      </c>
      <c r="G49" s="349" t="n"/>
      <c r="H49" s="349" t="n"/>
      <c r="I49" s="349" t="n"/>
      <c r="J49" s="349" t="n"/>
      <c r="K49" s="349" t="n"/>
      <c r="L49" s="349" t="n"/>
      <c r="M49" s="349" t="n"/>
      <c r="N49" s="349" t="n"/>
      <c r="O49" s="349" t="n"/>
      <c r="P49" s="350">
        <f>SUM(E49:O49)</f>
        <v/>
      </c>
    </row>
    <row r="50" ht="13.9" customFormat="1" customHeight="1" s="54">
      <c r="A50" s="48">
        <f>A49+1</f>
        <v/>
      </c>
      <c r="B50" s="287" t="inlineStr">
        <is>
          <t>Luciana Paula Bonetti Silva</t>
        </is>
      </c>
      <c r="C50" s="257" t="n"/>
      <c r="D50" s="255" t="n"/>
      <c r="E50" s="349" t="n">
        <v>7113.75</v>
      </c>
      <c r="F50" s="349" t="n">
        <v>7113.75</v>
      </c>
      <c r="G50" s="349" t="n"/>
      <c r="H50" s="349" t="n"/>
      <c r="I50" s="349" t="n"/>
      <c r="J50" s="349" t="n"/>
      <c r="K50" s="349" t="n"/>
      <c r="L50" s="349" t="n"/>
      <c r="M50" s="349" t="n"/>
      <c r="N50" s="349" t="n"/>
      <c r="O50" s="349" t="n"/>
      <c r="P50" s="350">
        <f>SUM(E50:O50)</f>
        <v/>
      </c>
    </row>
    <row r="51" ht="13.9" customFormat="1" customHeight="1" s="54">
      <c r="A51" s="48">
        <f>A50+1</f>
        <v/>
      </c>
      <c r="B51" s="287" t="inlineStr">
        <is>
          <t>Maeli Faé</t>
        </is>
      </c>
      <c r="C51" s="257" t="n"/>
      <c r="D51" s="255" t="n"/>
      <c r="E51" s="349">
        <f>12620.75+757.24</f>
        <v/>
      </c>
      <c r="F51" s="349">
        <f>12620.75+757.24</f>
        <v/>
      </c>
      <c r="G51" s="349" t="n"/>
      <c r="H51" s="349" t="n"/>
      <c r="I51" s="349" t="n"/>
      <c r="J51" s="349" t="n"/>
      <c r="K51" s="349" t="n"/>
      <c r="L51" s="349" t="n"/>
      <c r="M51" s="349" t="n"/>
      <c r="N51" s="349" t="n"/>
      <c r="O51" s="349" t="n"/>
      <c r="P51" s="350">
        <f>SUM(E51:O51)</f>
        <v/>
      </c>
    </row>
    <row r="52" ht="13.9" customFormat="1" customHeight="1" s="54">
      <c r="A52" s="48">
        <f>A51+1</f>
        <v/>
      </c>
      <c r="B52" s="287" t="inlineStr">
        <is>
          <t>Paulo Roberto Xavier</t>
        </is>
      </c>
      <c r="C52" s="257" t="n"/>
      <c r="D52" s="255" t="n"/>
      <c r="E52" s="349">
        <f>8410.29+504.62</f>
        <v/>
      </c>
      <c r="F52" s="349">
        <f>8410.29+504.62</f>
        <v/>
      </c>
      <c r="G52" s="349" t="n"/>
      <c r="H52" s="349" t="n"/>
      <c r="I52" s="349" t="n"/>
      <c r="J52" s="349" t="n"/>
      <c r="K52" s="349" t="n"/>
      <c r="L52" s="349" t="n"/>
      <c r="M52" s="349" t="n"/>
      <c r="N52" s="349" t="n"/>
      <c r="O52" s="349" t="n"/>
      <c r="P52" s="350">
        <f>SUM(E52:O52)</f>
        <v/>
      </c>
    </row>
    <row r="53" ht="13.9" customFormat="1" customHeight="1" s="54">
      <c r="A53" s="48">
        <f>A52+1</f>
        <v/>
      </c>
      <c r="B53" s="287" t="inlineStr">
        <is>
          <t>Rafael Aleixo de Souza</t>
        </is>
      </c>
      <c r="C53" s="257" t="n"/>
      <c r="D53" s="255" t="n"/>
      <c r="E53" s="349">
        <f>10949.97+985.5</f>
        <v/>
      </c>
      <c r="F53" s="349">
        <f>10949.97+985.5</f>
        <v/>
      </c>
      <c r="G53" s="349" t="n"/>
      <c r="H53" s="349" t="n"/>
      <c r="I53" s="349" t="n"/>
      <c r="J53" s="349" t="n"/>
      <c r="K53" s="349" t="n"/>
      <c r="L53" s="349" t="n"/>
      <c r="M53" s="349" t="n"/>
      <c r="N53" s="349" t="n"/>
      <c r="O53" s="349" t="n"/>
      <c r="P53" s="350">
        <f>SUM(E53:O53)</f>
        <v/>
      </c>
    </row>
    <row r="54" ht="13.9" customFormat="1" customHeight="1" s="54">
      <c r="A54" s="48">
        <f>A53+1</f>
        <v/>
      </c>
      <c r="B54" s="287" t="inlineStr">
        <is>
          <t>Ronivaldo Pereira de Araujo</t>
        </is>
      </c>
      <c r="C54" s="257" t="n"/>
      <c r="D54" s="255" t="n"/>
      <c r="E54" s="349">
        <f>9630.93+866.78</f>
        <v/>
      </c>
      <c r="F54" s="349">
        <f>9630.93+866.78</f>
        <v/>
      </c>
      <c r="G54" s="349" t="n"/>
      <c r="H54" s="349" t="n"/>
      <c r="I54" s="349" t="n"/>
      <c r="J54" s="349" t="n"/>
      <c r="K54" s="349" t="n"/>
      <c r="L54" s="349" t="n"/>
      <c r="M54" s="349" t="n"/>
      <c r="N54" s="349" t="n"/>
      <c r="O54" s="349" t="n"/>
      <c r="P54" s="350">
        <f>SUM(E54:O54)</f>
        <v/>
      </c>
    </row>
    <row r="55" ht="13.9" customFormat="1" customHeight="1" s="54">
      <c r="A55" s="48">
        <f>A54+1</f>
        <v/>
      </c>
      <c r="B55" s="287" t="inlineStr">
        <is>
          <t>Rubens Costa da Silva</t>
        </is>
      </c>
      <c r="C55" s="257" t="n"/>
      <c r="D55" s="255" t="n"/>
      <c r="E55" s="349">
        <f>6566.54</f>
        <v/>
      </c>
      <c r="F55" s="349">
        <f>6566.54</f>
        <v/>
      </c>
      <c r="G55" s="349" t="n"/>
      <c r="H55" s="349" t="n"/>
      <c r="I55" s="349" t="n"/>
      <c r="J55" s="349" t="n"/>
      <c r="K55" s="349" t="n"/>
      <c r="L55" s="349" t="n"/>
      <c r="M55" s="349" t="n"/>
      <c r="N55" s="349" t="n"/>
      <c r="O55" s="349" t="n"/>
      <c r="P55" s="350">
        <f>SUM(E55:O55)</f>
        <v/>
      </c>
    </row>
    <row r="56" ht="13.9" customFormat="1" customHeight="1" s="54">
      <c r="A56" s="48">
        <f>A55+1</f>
        <v/>
      </c>
      <c r="B56" s="288" t="inlineStr">
        <is>
          <t>Amir Mattar Valente</t>
        </is>
      </c>
      <c r="C56" s="257" t="n"/>
      <c r="D56" s="255" t="n"/>
      <c r="E56" s="349">
        <f>26813.37+804.4</f>
        <v/>
      </c>
      <c r="F56" s="349">
        <f>26813.37+804.4</f>
        <v/>
      </c>
      <c r="G56" s="349" t="n"/>
      <c r="H56" s="349" t="n"/>
      <c r="I56" s="349" t="n"/>
      <c r="J56" s="349" t="n"/>
      <c r="K56" s="349" t="n"/>
      <c r="L56" s="349" t="n"/>
      <c r="M56" s="349" t="n"/>
      <c r="N56" s="349" t="n"/>
      <c r="O56" s="349" t="n"/>
      <c r="P56" s="350">
        <f>SUM(E56:O56)</f>
        <v/>
      </c>
    </row>
    <row r="57" ht="13.9" customFormat="1" customHeight="1" s="54">
      <c r="A57" s="48">
        <f>A56+1</f>
        <v/>
      </c>
      <c r="B57" s="288" t="inlineStr">
        <is>
          <t>Carla Santana</t>
        </is>
      </c>
      <c r="C57" s="257" t="n"/>
      <c r="D57" s="255" t="n"/>
      <c r="E57" s="349">
        <f>6565.16+787.82</f>
        <v/>
      </c>
      <c r="F57" s="349">
        <f>6565.16+787.82</f>
        <v/>
      </c>
      <c r="G57" s="349" t="n"/>
      <c r="H57" s="349" t="n"/>
      <c r="I57" s="349" t="n"/>
      <c r="J57" s="349" t="n"/>
      <c r="K57" s="349" t="n"/>
      <c r="L57" s="349" t="n"/>
      <c r="M57" s="349" t="n"/>
      <c r="N57" s="349" t="n"/>
      <c r="O57" s="349" t="n"/>
      <c r="P57" s="350">
        <f>SUM(E57:O57)</f>
        <v/>
      </c>
    </row>
    <row r="58" ht="13.9" customFormat="1" customHeight="1" s="54">
      <c r="A58" s="48">
        <f>A57+1</f>
        <v/>
      </c>
      <c r="B58" s="288" t="inlineStr">
        <is>
          <t>Caroline Fagundes</t>
        </is>
      </c>
      <c r="C58" s="257" t="n"/>
      <c r="D58" s="255" t="n"/>
      <c r="E58" s="349">
        <f>5086.62+305.2</f>
        <v/>
      </c>
      <c r="F58" s="349">
        <f>5086.62+305.2</f>
        <v/>
      </c>
      <c r="G58" s="349" t="n"/>
      <c r="H58" s="349" t="n"/>
      <c r="I58" s="349" t="n"/>
      <c r="J58" s="349" t="n"/>
      <c r="K58" s="349" t="n"/>
      <c r="L58" s="349" t="n"/>
      <c r="M58" s="349" t="n"/>
      <c r="N58" s="349" t="n"/>
      <c r="O58" s="349" t="n"/>
      <c r="P58" s="350">
        <f>SUM(E58:O58)</f>
        <v/>
      </c>
    </row>
    <row r="59" ht="13.9" customFormat="1" customHeight="1" s="54">
      <c r="A59" s="48">
        <f>A58+1</f>
        <v/>
      </c>
      <c r="B59" s="288" t="inlineStr">
        <is>
          <t>Daniela Vogel</t>
        </is>
      </c>
      <c r="C59" s="257" t="n"/>
      <c r="D59" s="255" t="n"/>
      <c r="E59" s="349">
        <f>(8390.54+1510.3)*$Q$59</f>
        <v/>
      </c>
      <c r="F59" s="349">
        <f>(8390.54+1510.3)*$Q$59</f>
        <v/>
      </c>
      <c r="G59" s="349" t="n"/>
      <c r="H59" s="349" t="n"/>
      <c r="I59" s="349" t="n"/>
      <c r="J59" s="349" t="n"/>
      <c r="K59" s="349" t="n"/>
      <c r="L59" s="349" t="n"/>
      <c r="M59" s="349" t="n"/>
      <c r="N59" s="349" t="n"/>
      <c r="O59" s="349" t="n"/>
      <c r="P59" s="350">
        <f>SUM(E59:O59)</f>
        <v/>
      </c>
      <c r="Q59" s="54">
        <f>1-0.4584</f>
        <v/>
      </c>
    </row>
    <row r="60" ht="13.9" customFormat="1" customHeight="1" s="54">
      <c r="A60" s="48">
        <f>A59+1</f>
        <v/>
      </c>
      <c r="B60" s="288" t="inlineStr">
        <is>
          <t>Marciel Manoel dos Santos</t>
        </is>
      </c>
      <c r="C60" s="257" t="n"/>
      <c r="D60" s="255" t="n"/>
      <c r="E60" s="349">
        <f>25242.11+4543.58</f>
        <v/>
      </c>
      <c r="F60" s="349">
        <f>25242.11+4543.58</f>
        <v/>
      </c>
      <c r="G60" s="349" t="n"/>
      <c r="H60" s="349" t="n"/>
      <c r="I60" s="349" t="n"/>
      <c r="J60" s="349" t="n"/>
      <c r="K60" s="349" t="n"/>
      <c r="L60" s="349" t="n"/>
      <c r="M60" s="349" t="n"/>
      <c r="N60" s="349" t="n"/>
      <c r="O60" s="349" t="n"/>
      <c r="P60" s="350">
        <f>SUM(E60:O60)</f>
        <v/>
      </c>
    </row>
    <row r="61" ht="13.9" customFormat="1" customHeight="1" s="54">
      <c r="A61" s="48">
        <f>A60+1</f>
        <v/>
      </c>
      <c r="B61" s="288" t="inlineStr">
        <is>
          <t>Maurilia Maria Dias</t>
        </is>
      </c>
      <c r="C61" s="257" t="n"/>
      <c r="D61" s="255" t="n"/>
      <c r="E61" s="349">
        <f>1499.36+134.94</f>
        <v/>
      </c>
      <c r="F61" s="349">
        <f>1499.36+134.94</f>
        <v/>
      </c>
      <c r="G61" s="349" t="n"/>
      <c r="H61" s="349" t="n"/>
      <c r="I61" s="349" t="n"/>
      <c r="J61" s="349" t="n"/>
      <c r="K61" s="349" t="n"/>
      <c r="L61" s="349" t="n"/>
      <c r="M61" s="349" t="n"/>
      <c r="N61" s="349" t="n"/>
      <c r="O61" s="349" t="n"/>
      <c r="P61" s="350">
        <f>SUM(E61:O61)</f>
        <v/>
      </c>
    </row>
    <row r="62" ht="13.9" customFormat="1" customHeight="1" s="54">
      <c r="A62" s="48">
        <f>A61+1</f>
        <v/>
      </c>
      <c r="B62" s="290" t="inlineStr">
        <is>
          <t>Claudio de Marafigo</t>
        </is>
      </c>
      <c r="C62" s="257" t="n"/>
      <c r="D62" s="255" t="n"/>
      <c r="E62" s="349">
        <f>4414.43+662.16</f>
        <v/>
      </c>
      <c r="F62" s="349">
        <f>4414.43+662.16</f>
        <v/>
      </c>
      <c r="G62" s="349" t="n"/>
      <c r="H62" s="349" t="n"/>
      <c r="I62" s="349" t="n"/>
      <c r="J62" s="349" t="n"/>
      <c r="K62" s="349" t="n"/>
      <c r="L62" s="349" t="n"/>
      <c r="M62" s="349" t="n"/>
      <c r="N62" s="349" t="n"/>
      <c r="O62" s="349" t="n"/>
      <c r="P62" s="350">
        <f>SUM(E62:O62)</f>
        <v/>
      </c>
    </row>
    <row r="63" ht="13.9" customFormat="1" customHeight="1" s="54">
      <c r="A63" s="48">
        <f>A62+1</f>
        <v/>
      </c>
      <c r="B63" s="290" t="inlineStr">
        <is>
          <t>Cleber Tomaz</t>
        </is>
      </c>
      <c r="C63" s="257" t="n"/>
      <c r="D63" s="255" t="n"/>
      <c r="E63" s="349">
        <f>5312.97+159.39</f>
        <v/>
      </c>
      <c r="F63" s="349">
        <f>5312.97+159.39</f>
        <v/>
      </c>
      <c r="G63" s="349" t="n"/>
      <c r="H63" s="349" t="n"/>
      <c r="I63" s="349" t="n"/>
      <c r="J63" s="349" t="n"/>
      <c r="K63" s="349" t="n"/>
      <c r="L63" s="349" t="n"/>
      <c r="M63" s="349" t="n"/>
      <c r="N63" s="349" t="n"/>
      <c r="O63" s="349" t="n"/>
      <c r="P63" s="350">
        <f>SUM(E63:O63)</f>
        <v/>
      </c>
    </row>
    <row r="64" ht="13.9" customFormat="1" customHeight="1" s="54">
      <c r="A64" s="48">
        <f>A63+1</f>
        <v/>
      </c>
      <c r="B64" s="290" t="inlineStr">
        <is>
          <t>Eduardo Felipe Duarte Schmidt Hebbel</t>
        </is>
      </c>
      <c r="C64" s="257" t="n"/>
      <c r="D64" s="255" t="n"/>
      <c r="E64" s="349">
        <f>5278.53+158.36</f>
        <v/>
      </c>
      <c r="F64" s="349">
        <f>5278.53+158.36</f>
        <v/>
      </c>
      <c r="G64" s="349" t="n"/>
      <c r="H64" s="349" t="n"/>
      <c r="I64" s="349" t="n"/>
      <c r="J64" s="349" t="n"/>
      <c r="K64" s="349" t="n"/>
      <c r="L64" s="349" t="n"/>
      <c r="M64" s="349" t="n"/>
      <c r="N64" s="349" t="n"/>
      <c r="O64" s="349" t="n"/>
      <c r="P64" s="350">
        <f>SUM(E64:O64)</f>
        <v/>
      </c>
    </row>
    <row r="65" ht="13.9" customFormat="1" customHeight="1" s="54">
      <c r="A65" s="48">
        <f>A64+1</f>
        <v/>
      </c>
      <c r="B65" s="290" t="inlineStr">
        <is>
          <t>Gustavo Henrique Buch</t>
        </is>
      </c>
      <c r="C65" s="257" t="n"/>
      <c r="D65" s="255" t="n"/>
      <c r="E65" s="349">
        <f>10944.23+656.65</f>
        <v/>
      </c>
      <c r="F65" s="349">
        <f>10944.23+656.65</f>
        <v/>
      </c>
      <c r="G65" s="349" t="n"/>
      <c r="H65" s="349" t="n"/>
      <c r="I65" s="349" t="n"/>
      <c r="J65" s="349" t="n"/>
      <c r="K65" s="349" t="n"/>
      <c r="L65" s="349" t="n"/>
      <c r="M65" s="349" t="n"/>
      <c r="N65" s="349" t="n"/>
      <c r="O65" s="349" t="n"/>
      <c r="P65" s="350">
        <f>SUM(E65:O65)</f>
        <v/>
      </c>
    </row>
    <row r="66" ht="13.9" customFormat="1" customHeight="1" s="54">
      <c r="A66" s="48">
        <f>A65+1</f>
        <v/>
      </c>
      <c r="B66" s="290" t="inlineStr">
        <is>
          <t>Jardel Ferreira</t>
        </is>
      </c>
      <c r="C66" s="257" t="n"/>
      <c r="D66" s="255" t="n"/>
      <c r="E66" s="349">
        <f>5278.53+158.36</f>
        <v/>
      </c>
      <c r="F66" s="349">
        <f>5278.53+158.36</f>
        <v/>
      </c>
      <c r="G66" s="349" t="n"/>
      <c r="H66" s="349" t="n"/>
      <c r="I66" s="349" t="n"/>
      <c r="J66" s="349" t="n"/>
      <c r="K66" s="349" t="n"/>
      <c r="L66" s="349" t="n"/>
      <c r="M66" s="349" t="n"/>
      <c r="N66" s="349" t="n"/>
      <c r="O66" s="349" t="n"/>
      <c r="P66" s="350">
        <f>SUM(E66:O66)</f>
        <v/>
      </c>
    </row>
    <row r="67" ht="13.9" customFormat="1" customHeight="1" s="54">
      <c r="A67" s="48">
        <f>A66+1</f>
        <v/>
      </c>
      <c r="B67" s="292" t="inlineStr">
        <is>
          <t>Juan Morallys Lucena Silva</t>
        </is>
      </c>
      <c r="C67" s="257" t="n"/>
      <c r="D67" s="255" t="n"/>
      <c r="E67" s="349">
        <f>4817.79+144.53</f>
        <v/>
      </c>
      <c r="F67" s="349">
        <f>4817.79+144.53</f>
        <v/>
      </c>
      <c r="G67" s="349" t="n"/>
      <c r="H67" s="349" t="n"/>
      <c r="I67" s="349" t="n"/>
      <c r="J67" s="349" t="n"/>
      <c r="K67" s="349" t="n"/>
      <c r="L67" s="349" t="n"/>
      <c r="M67" s="349" t="n"/>
      <c r="N67" s="349" t="n"/>
      <c r="O67" s="349" t="n"/>
      <c r="P67" s="350">
        <f>SUM(E67:O67)</f>
        <v/>
      </c>
    </row>
    <row r="68" ht="13.9" customFormat="1" customHeight="1" s="54">
      <c r="A68" s="48">
        <f>A67+1</f>
        <v/>
      </c>
      <c r="B68" s="292" t="inlineStr">
        <is>
          <t>Luiza de Oliveira Santos</t>
        </is>
      </c>
      <c r="C68" s="257" t="n"/>
      <c r="D68" s="255" t="n"/>
      <c r="E68" s="349" t="n">
        <v>4377.69</v>
      </c>
      <c r="F68" s="349" t="n">
        <v>4377.69</v>
      </c>
      <c r="G68" s="349" t="n"/>
      <c r="H68" s="349" t="n"/>
      <c r="I68" s="349" t="n"/>
      <c r="J68" s="349" t="n"/>
      <c r="K68" s="349" t="n"/>
      <c r="L68" s="349" t="n"/>
      <c r="M68" s="349" t="n"/>
      <c r="N68" s="349" t="n"/>
      <c r="O68" s="349" t="n"/>
      <c r="P68" s="350">
        <f>SUM(E68:O68)</f>
        <v/>
      </c>
    </row>
    <row r="69" ht="13.9" customFormat="1" customHeight="1" s="54">
      <c r="A69" s="48">
        <f>A68+1</f>
        <v/>
      </c>
      <c r="B69" s="293" t="inlineStr">
        <is>
          <t>João Eugênio Cavallazzi</t>
        </is>
      </c>
      <c r="C69" s="257" t="n"/>
      <c r="D69" s="255" t="n"/>
      <c r="E69" s="349">
        <f>8065.65+483.94</f>
        <v/>
      </c>
      <c r="F69" s="349">
        <f>8065.65+483.94</f>
        <v/>
      </c>
      <c r="G69" s="349" t="n"/>
      <c r="H69" s="349" t="n"/>
      <c r="I69" s="349" t="n"/>
      <c r="J69" s="349" t="n"/>
      <c r="K69" s="349" t="n"/>
      <c r="L69" s="349" t="n"/>
      <c r="M69" s="349" t="n"/>
      <c r="N69" s="349" t="n"/>
      <c r="O69" s="349" t="n"/>
      <c r="P69" s="350">
        <f>SUM(E69:O69)</f>
        <v/>
      </c>
    </row>
    <row r="70" ht="13.9" customHeight="1" s="276">
      <c r="A70" s="48">
        <f>A69+1</f>
        <v/>
      </c>
      <c r="B70" s="291" t="inlineStr">
        <is>
          <t>Encargos Trabalhistas</t>
        </is>
      </c>
      <c r="C70" s="257" t="n"/>
      <c r="D70" s="255" t="n"/>
      <c r="E70" s="351">
        <f>SUM(E4:E69)*0.8</f>
        <v/>
      </c>
      <c r="F70" s="351">
        <f>SUM(F4:F69)*0.8</f>
        <v/>
      </c>
      <c r="G70" s="351">
        <f>SUM(G4:G69)*0.8</f>
        <v/>
      </c>
      <c r="H70" s="351">
        <f>SUM(H4:H69)*0.8</f>
        <v/>
      </c>
      <c r="I70" s="351">
        <f>SUM(I4:I69)*0.8</f>
        <v/>
      </c>
      <c r="J70" s="351">
        <f>SUM(J4:J69)*0.8</f>
        <v/>
      </c>
      <c r="K70" s="351">
        <f>SUM(K4:K69)*0.8</f>
        <v/>
      </c>
      <c r="L70" s="351">
        <f>SUM(L4:L69)*0.8</f>
        <v/>
      </c>
      <c r="M70" s="351">
        <f>SUM(M4:M69)*0.8</f>
        <v/>
      </c>
      <c r="N70" s="351">
        <f>SUM(N4:N69)*0.8</f>
        <v/>
      </c>
      <c r="O70" s="351">
        <f>SUM(O4:O69)*0.8</f>
        <v/>
      </c>
      <c r="P70" s="350">
        <f>SUM(E70:O70)</f>
        <v/>
      </c>
      <c r="AR70" s="352" t="n"/>
    </row>
    <row r="71" ht="13.9" customHeight="1" s="276">
      <c r="A71" s="48">
        <f>A70+1</f>
        <v/>
      </c>
      <c r="B71" s="291" t="inlineStr">
        <is>
          <t>Aline Gambin</t>
        </is>
      </c>
      <c r="C71" s="257" t="n"/>
      <c r="D71" s="255" t="n"/>
      <c r="E71" s="351" t="n">
        <v>3200</v>
      </c>
      <c r="F71" s="351" t="n">
        <v>3200</v>
      </c>
      <c r="G71" s="351" t="n">
        <v>3200</v>
      </c>
      <c r="H71" s="351" t="n">
        <v>3200</v>
      </c>
      <c r="I71" s="351" t="n">
        <v>3200</v>
      </c>
      <c r="J71" s="351" t="n">
        <v>3200</v>
      </c>
      <c r="K71" s="351" t="n">
        <v>3200</v>
      </c>
      <c r="L71" s="351" t="n">
        <v>3200</v>
      </c>
      <c r="M71" s="351" t="n">
        <v>3200</v>
      </c>
      <c r="N71" s="351" t="n">
        <v>3200</v>
      </c>
      <c r="O71" s="351" t="n">
        <v>3200</v>
      </c>
      <c r="P71" s="350">
        <f>SUM(E71:O71)</f>
        <v/>
      </c>
      <c r="AR71" s="352" t="n"/>
    </row>
    <row r="72" ht="13.9" customHeight="1" s="276">
      <c r="A72" s="48">
        <f>A71+1</f>
        <v/>
      </c>
      <c r="B72" s="291" t="inlineStr">
        <is>
          <t>Amanda Maciel da Silva</t>
        </is>
      </c>
      <c r="C72" s="257" t="n"/>
      <c r="D72" s="255" t="n"/>
      <c r="E72" s="351" t="n">
        <v>1050</v>
      </c>
      <c r="F72" s="351" t="n">
        <v>1050</v>
      </c>
      <c r="G72" s="351" t="n">
        <v>1050</v>
      </c>
      <c r="H72" s="351" t="n">
        <v>1050</v>
      </c>
      <c r="I72" s="351" t="n">
        <v>1050</v>
      </c>
      <c r="J72" s="351" t="n">
        <v>1050</v>
      </c>
      <c r="K72" s="351" t="n">
        <v>1050</v>
      </c>
      <c r="L72" s="351" t="n">
        <v>1050</v>
      </c>
      <c r="M72" s="351" t="n">
        <v>1050</v>
      </c>
      <c r="N72" s="351" t="n">
        <v>1050</v>
      </c>
      <c r="O72" s="351" t="n">
        <v>1050</v>
      </c>
      <c r="P72" s="350">
        <f>SUM(E72:O72)</f>
        <v/>
      </c>
      <c r="AR72" s="352" t="n"/>
    </row>
    <row r="73" ht="13.9" customHeight="1" s="276">
      <c r="A73" s="48">
        <f>A72+1</f>
        <v/>
      </c>
      <c r="B73" s="291" t="inlineStr">
        <is>
          <t>Beatriz Martins Rachadel</t>
        </is>
      </c>
      <c r="C73" s="257" t="n"/>
      <c r="D73" s="255" t="n"/>
      <c r="E73" s="351" t="n">
        <v>1050</v>
      </c>
      <c r="F73" s="351" t="n">
        <v>1050</v>
      </c>
      <c r="G73" s="351" t="n">
        <v>1050</v>
      </c>
      <c r="H73" s="351" t="n">
        <v>1050</v>
      </c>
      <c r="I73" s="351" t="n">
        <v>1050</v>
      </c>
      <c r="J73" s="351" t="n">
        <v>1050</v>
      </c>
      <c r="K73" s="351" t="n">
        <v>1050</v>
      </c>
      <c r="L73" s="351" t="n">
        <v>1050</v>
      </c>
      <c r="M73" s="351" t="n">
        <v>1050</v>
      </c>
      <c r="N73" s="351" t="n">
        <v>1050</v>
      </c>
      <c r="O73" s="351" t="n">
        <v>1050</v>
      </c>
      <c r="P73" s="350">
        <f>SUM(E73:O73)</f>
        <v/>
      </c>
      <c r="AR73" s="352" t="n"/>
    </row>
    <row r="74" ht="13.9" customHeight="1" s="276">
      <c r="A74" s="48">
        <f>A73+1</f>
        <v/>
      </c>
      <c r="B74" s="291" t="inlineStr">
        <is>
          <t>Érica Milani Dellai</t>
        </is>
      </c>
      <c r="C74" s="257" t="n"/>
      <c r="D74" s="255" t="n"/>
      <c r="E74" s="351" t="n">
        <v>1050</v>
      </c>
      <c r="F74" s="351" t="n">
        <v>1050</v>
      </c>
      <c r="G74" s="351" t="n">
        <v>1050</v>
      </c>
      <c r="H74" s="351" t="n">
        <v>1050</v>
      </c>
      <c r="I74" s="351" t="n">
        <v>1050</v>
      </c>
      <c r="J74" s="351" t="n">
        <v>1050</v>
      </c>
      <c r="K74" s="351" t="n">
        <v>1050</v>
      </c>
      <c r="L74" s="351" t="n">
        <v>1050</v>
      </c>
      <c r="M74" s="351" t="n">
        <v>1050</v>
      </c>
      <c r="N74" s="351" t="n">
        <v>1050</v>
      </c>
      <c r="O74" s="351" t="n">
        <v>1050</v>
      </c>
      <c r="P74" s="350">
        <f>SUM(E74:O74)</f>
        <v/>
      </c>
      <c r="AR74" s="352" t="n"/>
    </row>
    <row r="75" ht="13.9" customHeight="1" s="276">
      <c r="A75" s="48">
        <f>A74+1</f>
        <v/>
      </c>
      <c r="B75" s="291" t="inlineStr">
        <is>
          <t>Eveliny Dias de Medeiros</t>
        </is>
      </c>
      <c r="C75" s="257" t="n"/>
      <c r="D75" s="255" t="n"/>
      <c r="E75" s="351" t="n">
        <v>3200</v>
      </c>
      <c r="F75" s="351" t="n">
        <v>3200</v>
      </c>
      <c r="G75" s="351" t="n">
        <v>3200</v>
      </c>
      <c r="H75" s="351" t="n">
        <v>3200</v>
      </c>
      <c r="I75" s="351" t="n">
        <v>3200</v>
      </c>
      <c r="J75" s="351" t="n">
        <v>3200</v>
      </c>
      <c r="K75" s="351" t="n">
        <v>3200</v>
      </c>
      <c r="L75" s="351" t="n">
        <v>3200</v>
      </c>
      <c r="M75" s="351" t="n">
        <v>3200</v>
      </c>
      <c r="N75" s="351" t="n">
        <v>3200</v>
      </c>
      <c r="O75" s="351" t="n">
        <v>3200</v>
      </c>
      <c r="P75" s="350">
        <f>SUM(E75:O75)</f>
        <v/>
      </c>
      <c r="AR75" s="352" t="n"/>
    </row>
    <row r="76" ht="13.9" customHeight="1" s="276">
      <c r="A76" s="48">
        <f>A75+1</f>
        <v/>
      </c>
      <c r="B76" s="291" t="inlineStr">
        <is>
          <t>Joanna de Souza Kehring</t>
        </is>
      </c>
      <c r="C76" s="257" t="n"/>
      <c r="D76" s="255" t="n"/>
      <c r="E76" s="351" t="n">
        <v>1050</v>
      </c>
      <c r="F76" s="351" t="n">
        <v>1050</v>
      </c>
      <c r="G76" s="351" t="n">
        <v>1050</v>
      </c>
      <c r="H76" s="351" t="n">
        <v>1050</v>
      </c>
      <c r="I76" s="351" t="n">
        <v>1050</v>
      </c>
      <c r="J76" s="351" t="n">
        <v>1050</v>
      </c>
      <c r="K76" s="351" t="n">
        <v>1050</v>
      </c>
      <c r="L76" s="351" t="n">
        <v>1050</v>
      </c>
      <c r="M76" s="351" t="n">
        <v>1050</v>
      </c>
      <c r="N76" s="351" t="n">
        <v>1050</v>
      </c>
      <c r="O76" s="351" t="n">
        <v>1050</v>
      </c>
      <c r="P76" s="350">
        <f>SUM(E76:O76)</f>
        <v/>
      </c>
      <c r="AR76" s="352" t="n"/>
    </row>
    <row r="77" ht="13.9" customHeight="1" s="276">
      <c r="A77" s="48">
        <f>A76+1</f>
        <v/>
      </c>
      <c r="B77" s="291" t="inlineStr">
        <is>
          <t>Júlia Mayer Eyng</t>
        </is>
      </c>
      <c r="C77" s="257" t="n"/>
      <c r="D77" s="255" t="n"/>
      <c r="E77" s="351" t="n">
        <v>1050</v>
      </c>
      <c r="F77" s="351" t="n">
        <v>1050</v>
      </c>
      <c r="G77" s="351" t="n"/>
      <c r="H77" s="351" t="n"/>
      <c r="I77" s="351" t="n"/>
      <c r="J77" s="351" t="n"/>
      <c r="K77" s="351" t="n"/>
      <c r="L77" s="351" t="n"/>
      <c r="M77" s="351" t="n"/>
      <c r="N77" s="351" t="n"/>
      <c r="O77" s="351" t="n"/>
      <c r="P77" s="350">
        <f>SUM(E77:O77)</f>
        <v/>
      </c>
      <c r="AR77" s="352" t="n"/>
    </row>
    <row r="78" ht="13.9" customHeight="1" s="276">
      <c r="A78" s="48">
        <f>A77+1</f>
        <v/>
      </c>
      <c r="B78" s="291" t="inlineStr">
        <is>
          <t>Liandra Dos Santos Jesus</t>
        </is>
      </c>
      <c r="C78" s="257" t="n"/>
      <c r="D78" s="255" t="n"/>
      <c r="E78" s="351" t="n">
        <v>3200</v>
      </c>
      <c r="F78" s="351" t="n">
        <v>3200</v>
      </c>
      <c r="G78" s="351" t="n">
        <v>3200</v>
      </c>
      <c r="H78" s="351" t="n">
        <v>3200</v>
      </c>
      <c r="I78" s="351" t="n">
        <v>3200</v>
      </c>
      <c r="J78" s="351" t="n">
        <v>3200</v>
      </c>
      <c r="K78" s="351" t="n">
        <v>3200</v>
      </c>
      <c r="L78" s="351" t="n">
        <v>3200</v>
      </c>
      <c r="M78" s="351" t="n">
        <v>3200</v>
      </c>
      <c r="N78" s="351" t="n">
        <v>3200</v>
      </c>
      <c r="O78" s="351" t="n">
        <v>3200</v>
      </c>
      <c r="P78" s="350">
        <f>SUM(E78:O78)</f>
        <v/>
      </c>
      <c r="AR78" s="352" t="n"/>
    </row>
    <row r="79" ht="13.9" customHeight="1" s="276">
      <c r="A79" s="48">
        <f>A78+1</f>
        <v/>
      </c>
      <c r="B79" s="277" t="inlineStr">
        <is>
          <t>Serviços de Terceiros</t>
        </is>
      </c>
      <c r="C79" s="257" t="n"/>
      <c r="D79" s="255" t="n"/>
      <c r="E79" s="351" t="n">
        <v>4000</v>
      </c>
      <c r="F79" s="351" t="n">
        <v>4000</v>
      </c>
      <c r="G79" s="351" t="n">
        <v>4000</v>
      </c>
      <c r="H79" s="351" t="n">
        <v>4000</v>
      </c>
      <c r="I79" s="351" t="n">
        <v>4000</v>
      </c>
      <c r="J79" s="351" t="n">
        <v>4000</v>
      </c>
      <c r="K79" s="351" t="n">
        <v>4000</v>
      </c>
      <c r="L79" s="351" t="n">
        <v>4000</v>
      </c>
      <c r="M79" s="351" t="n">
        <v>4000</v>
      </c>
      <c r="N79" s="351" t="n">
        <v>4000</v>
      </c>
      <c r="O79" s="351" t="n">
        <v>4000</v>
      </c>
      <c r="P79" s="350">
        <f>SUM(E79:O79)</f>
        <v/>
      </c>
      <c r="AR79" s="352" t="n"/>
    </row>
    <row r="80" ht="13.9" customHeight="1" s="276">
      <c r="A80" s="48">
        <f>A79+1</f>
        <v/>
      </c>
      <c r="B80" s="277" t="inlineStr">
        <is>
          <t>Passagens aéreas</t>
        </is>
      </c>
      <c r="C80" s="257" t="n"/>
      <c r="D80" s="255" t="n"/>
      <c r="E80" s="351" t="n">
        <v>18000</v>
      </c>
      <c r="F80" s="351" t="n">
        <v>18000</v>
      </c>
      <c r="G80" s="351" t="n">
        <v>18000</v>
      </c>
      <c r="H80" s="351" t="n">
        <v>18000</v>
      </c>
      <c r="I80" s="351" t="n">
        <v>18000</v>
      </c>
      <c r="J80" s="351" t="n">
        <v>18000</v>
      </c>
      <c r="K80" s="351" t="n">
        <v>18000</v>
      </c>
      <c r="L80" s="351" t="n">
        <v>18000</v>
      </c>
      <c r="M80" s="351" t="n">
        <v>18000</v>
      </c>
      <c r="N80" s="351" t="n">
        <v>18000</v>
      </c>
      <c r="O80" s="351" t="n">
        <v>18000</v>
      </c>
      <c r="P80" s="350">
        <f>SUM(E80:O80)</f>
        <v/>
      </c>
    </row>
    <row r="81" ht="13.9" customHeight="1" s="276">
      <c r="A81" s="48">
        <f>A80+1</f>
        <v/>
      </c>
      <c r="B81" s="277" t="inlineStr">
        <is>
          <t>Diárias</t>
        </is>
      </c>
      <c r="C81" s="257" t="n"/>
      <c r="D81" s="255" t="n"/>
      <c r="E81" s="349" t="n">
        <v>12000</v>
      </c>
      <c r="F81" s="349" t="n">
        <v>12000</v>
      </c>
      <c r="G81" s="349" t="n">
        <v>12000</v>
      </c>
      <c r="H81" s="349" t="n">
        <v>12000</v>
      </c>
      <c r="I81" s="349" t="n">
        <v>12000</v>
      </c>
      <c r="J81" s="349" t="n">
        <v>12000</v>
      </c>
      <c r="K81" s="349" t="n">
        <v>12000</v>
      </c>
      <c r="L81" s="349" t="n">
        <v>12000</v>
      </c>
      <c r="M81" s="349" t="n">
        <v>12000</v>
      </c>
      <c r="N81" s="349" t="n">
        <v>12000</v>
      </c>
      <c r="O81" s="349" t="n">
        <v>12000</v>
      </c>
      <c r="P81" s="350">
        <f>SUM(E81:O81)</f>
        <v/>
      </c>
    </row>
    <row r="82" ht="13.9" customHeight="1" s="276">
      <c r="A82" s="48">
        <f>A81+1</f>
        <v/>
      </c>
      <c r="B82" s="277" t="inlineStr">
        <is>
          <t>Material de Consumo</t>
        </is>
      </c>
      <c r="C82" s="257" t="n"/>
      <c r="D82" s="255" t="n"/>
      <c r="E82" s="349" t="n">
        <v>2500</v>
      </c>
      <c r="F82" s="349" t="n">
        <v>2500</v>
      </c>
      <c r="G82" s="349" t="n">
        <v>2500</v>
      </c>
      <c r="H82" s="349" t="n">
        <v>2500</v>
      </c>
      <c r="I82" s="349" t="n">
        <v>2500</v>
      </c>
      <c r="J82" s="349" t="n">
        <v>2500</v>
      </c>
      <c r="K82" s="349" t="n">
        <v>2500</v>
      </c>
      <c r="L82" s="349" t="n">
        <v>2500</v>
      </c>
      <c r="M82" s="349" t="n">
        <v>2500</v>
      </c>
      <c r="N82" s="349" t="n">
        <v>2500</v>
      </c>
      <c r="O82" s="349" t="n">
        <v>2500</v>
      </c>
      <c r="P82" s="350">
        <f>SUM(E82:O82)</f>
        <v/>
      </c>
    </row>
    <row r="83" ht="13.9" customHeight="1" s="276">
      <c r="A83" s="282" t="inlineStr">
        <is>
          <t>subtotal</t>
        </is>
      </c>
      <c r="B83" s="257" t="n"/>
      <c r="C83" s="257" t="n"/>
      <c r="D83" s="255" t="n"/>
      <c r="E83" s="353">
        <f>SUM(E4:E82)</f>
        <v/>
      </c>
      <c r="F83" s="353">
        <f>SUM(F4:F82)</f>
        <v/>
      </c>
      <c r="G83" s="353">
        <f>SUM(G4:G82)</f>
        <v/>
      </c>
      <c r="H83" s="353">
        <f>SUM(H4:H82)</f>
        <v/>
      </c>
      <c r="I83" s="353">
        <f>SUM(I4:I82)</f>
        <v/>
      </c>
      <c r="J83" s="353">
        <f>SUM(J4:J82)</f>
        <v/>
      </c>
      <c r="K83" s="353">
        <f>SUM(K4:K82)</f>
        <v/>
      </c>
      <c r="L83" s="353">
        <f>SUM(L4:L82)</f>
        <v/>
      </c>
      <c r="M83" s="353">
        <f>SUM(M4:M82)</f>
        <v/>
      </c>
      <c r="N83" s="353">
        <f>SUM(N4:N82)</f>
        <v/>
      </c>
      <c r="O83" s="353">
        <f>SUM(O4:O82)</f>
        <v/>
      </c>
      <c r="P83" s="353">
        <f>SUM(P4:P82)</f>
        <v/>
      </c>
    </row>
    <row r="84" ht="13.9" customHeight="1" s="276">
      <c r="A84" s="55">
        <f>A82+1</f>
        <v/>
      </c>
      <c r="B84" s="280" t="inlineStr">
        <is>
          <t>FAPEU</t>
        </is>
      </c>
      <c r="C84" s="255" t="n"/>
      <c r="D84" s="56" t="n">
        <v>0.0827</v>
      </c>
      <c r="E84" s="351">
        <f>E2*$D$84</f>
        <v/>
      </c>
      <c r="F84" s="351">
        <f>F2*$D$84</f>
        <v/>
      </c>
      <c r="G84" s="351">
        <f>G2*$D$84</f>
        <v/>
      </c>
      <c r="H84" s="351">
        <f>H2*$D$84</f>
        <v/>
      </c>
      <c r="I84" s="351">
        <f>I2*$D$84</f>
        <v/>
      </c>
      <c r="J84" s="351">
        <f>J2*$D$84</f>
        <v/>
      </c>
      <c r="K84" s="351">
        <f>K2*$D$84</f>
        <v/>
      </c>
      <c r="L84" s="351">
        <f>L2*$D$84</f>
        <v/>
      </c>
      <c r="M84" s="351">
        <f>M2*$D$84</f>
        <v/>
      </c>
      <c r="N84" s="351">
        <f>N2*$D$84</f>
        <v/>
      </c>
      <c r="O84" s="351">
        <f>O2*$D$84</f>
        <v/>
      </c>
      <c r="P84" s="354">
        <f>SUM(E84:O84)</f>
        <v/>
      </c>
    </row>
    <row r="85" ht="13.9" customHeight="1" s="276">
      <c r="A85" s="55">
        <f>A84+1</f>
        <v/>
      </c>
      <c r="B85" s="280" t="inlineStr">
        <is>
          <t>UFSC</t>
        </is>
      </c>
      <c r="C85" s="255" t="n"/>
      <c r="D85" s="56" t="n">
        <v>0.07000000000000001</v>
      </c>
      <c r="E85" s="351">
        <f>E2*$D$85</f>
        <v/>
      </c>
      <c r="F85" s="351">
        <f>F2*$D$85</f>
        <v/>
      </c>
      <c r="G85" s="351">
        <f>G2*$D$85</f>
        <v/>
      </c>
      <c r="H85" s="351">
        <f>H2*$D$85</f>
        <v/>
      </c>
      <c r="I85" s="351">
        <f>I2*$D$85</f>
        <v/>
      </c>
      <c r="J85" s="351">
        <f>J2*$D$85</f>
        <v/>
      </c>
      <c r="K85" s="351">
        <f>K2*$D$85</f>
        <v/>
      </c>
      <c r="L85" s="351">
        <f>L2*$D$85</f>
        <v/>
      </c>
      <c r="M85" s="351">
        <f>M2*$D$85</f>
        <v/>
      </c>
      <c r="N85" s="351">
        <f>N2*$D$85</f>
        <v/>
      </c>
      <c r="O85" s="351">
        <f>O2*$D$85</f>
        <v/>
      </c>
      <c r="P85" s="354">
        <f>SUM(E85:O85)</f>
        <v/>
      </c>
    </row>
    <row r="86" ht="13.9" customHeight="1" s="276">
      <c r="A86" s="282" t="inlineStr">
        <is>
          <t>subtotal2</t>
        </is>
      </c>
      <c r="B86" s="257" t="n"/>
      <c r="C86" s="257" t="n"/>
      <c r="D86" s="255" t="n"/>
      <c r="E86" s="353">
        <f>SUM(E84:E85)</f>
        <v/>
      </c>
      <c r="F86" s="353">
        <f>SUM(F84:F85)</f>
        <v/>
      </c>
      <c r="G86" s="353">
        <f>SUM(G84:G85)</f>
        <v/>
      </c>
      <c r="H86" s="353">
        <f>SUM(H84:H85)</f>
        <v/>
      </c>
      <c r="I86" s="353">
        <f>SUM(I84:I85)</f>
        <v/>
      </c>
      <c r="J86" s="353">
        <f>SUM(J84:J85)</f>
        <v/>
      </c>
      <c r="K86" s="353">
        <f>SUM(K84:K85)</f>
        <v/>
      </c>
      <c r="L86" s="353">
        <f>SUM(L84:L85)</f>
        <v/>
      </c>
      <c r="M86" s="353">
        <f>SUM(M84:M85)</f>
        <v/>
      </c>
      <c r="N86" s="353">
        <f>SUM(N84:N85)</f>
        <v/>
      </c>
      <c r="O86" s="353">
        <f>SUM(O84:O85)</f>
        <v/>
      </c>
      <c r="P86" s="353">
        <f>SUM(P84:P85)</f>
        <v/>
      </c>
    </row>
    <row r="87" ht="13.9" customHeight="1" s="276">
      <c r="A87" s="285" t="inlineStr">
        <is>
          <t>Total Despesas</t>
        </is>
      </c>
      <c r="B87" s="257" t="n"/>
      <c r="C87" s="257" t="n"/>
      <c r="D87" s="255" t="n"/>
      <c r="E87" s="355">
        <f>E86+E83</f>
        <v/>
      </c>
      <c r="F87" s="355">
        <f>F86+F83</f>
        <v/>
      </c>
      <c r="G87" s="355">
        <f>G86+G83</f>
        <v/>
      </c>
      <c r="H87" s="355">
        <f>H86+H83</f>
        <v/>
      </c>
      <c r="I87" s="355">
        <f>I86+I83</f>
        <v/>
      </c>
      <c r="J87" s="355">
        <f>J86+J83</f>
        <v/>
      </c>
      <c r="K87" s="355">
        <f>K86+K83</f>
        <v/>
      </c>
      <c r="L87" s="355">
        <f>L86+L83</f>
        <v/>
      </c>
      <c r="M87" s="355">
        <f>M86+M83</f>
        <v/>
      </c>
      <c r="N87" s="355">
        <f>N86+N83</f>
        <v/>
      </c>
      <c r="O87" s="355">
        <f>O86+O83</f>
        <v/>
      </c>
      <c r="P87" s="355">
        <f>P86+P83</f>
        <v/>
      </c>
    </row>
    <row r="88" ht="13.9" customHeight="1" s="276">
      <c r="A88" s="356" t="inlineStr">
        <is>
          <t>Saldos</t>
        </is>
      </c>
      <c r="B88" s="257" t="n"/>
      <c r="C88" s="255" t="n"/>
      <c r="D88" s="57">
        <f>H93</f>
        <v/>
      </c>
      <c r="E88" s="57">
        <f>D88+E2-E87</f>
        <v/>
      </c>
      <c r="F88" s="57">
        <f>E88+F2-F87</f>
        <v/>
      </c>
      <c r="G88" s="57">
        <f>F88+G2-G87</f>
        <v/>
      </c>
      <c r="H88" s="57">
        <f>G88+H2-H87</f>
        <v/>
      </c>
      <c r="I88" s="57">
        <f>H88+I2-I87</f>
        <v/>
      </c>
      <c r="J88" s="57">
        <f>I88+J2-J87</f>
        <v/>
      </c>
      <c r="K88" s="57">
        <f>J88+K2-K87</f>
        <v/>
      </c>
      <c r="L88" s="57">
        <f>K88+L2-L87</f>
        <v/>
      </c>
      <c r="M88" s="57">
        <f>L88+M2-M87</f>
        <v/>
      </c>
      <c r="N88" s="57">
        <f>M88+N2-N87</f>
        <v/>
      </c>
      <c r="O88" s="57">
        <f>N88+O2-O87</f>
        <v/>
      </c>
      <c r="P88" s="58">
        <f>D88+P2-D2-P87</f>
        <v/>
      </c>
    </row>
    <row r="89" ht="13.35" customHeight="1" s="276">
      <c r="B89" s="60" t="n"/>
      <c r="C89" s="357" t="n"/>
      <c r="D89" s="357" t="n"/>
      <c r="E89" s="368" t="n"/>
      <c r="F89" s="368" t="n"/>
      <c r="G89" s="368" t="n"/>
      <c r="H89" s="368" t="n"/>
      <c r="I89" s="368" t="n"/>
      <c r="J89" s="368" t="n"/>
      <c r="K89" s="368" t="n"/>
      <c r="L89" s="368" t="n"/>
      <c r="M89" s="368" t="n"/>
      <c r="N89" s="368" t="n"/>
      <c r="O89" s="368" t="n"/>
      <c r="P89" s="368" t="n"/>
      <c r="Q89" s="368" t="n"/>
      <c r="R89" s="368" t="n"/>
      <c r="S89" s="368" t="n"/>
      <c r="T89" s="368" t="n"/>
      <c r="U89" s="368" t="n"/>
      <c r="V89" s="368" t="n"/>
      <c r="W89" s="368" t="n"/>
      <c r="X89" s="368" t="n"/>
      <c r="Y89" s="368" t="n"/>
      <c r="Z89" s="368" t="n"/>
      <c r="AA89" s="368" t="n"/>
      <c r="AB89" s="368" t="n"/>
      <c r="AC89" s="368" t="n"/>
      <c r="AD89" s="368" t="n"/>
      <c r="AE89" s="368" t="n"/>
      <c r="AF89" s="368" t="n"/>
      <c r="AG89" s="368" t="n"/>
      <c r="AH89" s="368" t="n"/>
      <c r="AI89" s="368" t="n"/>
      <c r="AJ89" s="368" t="n"/>
      <c r="AK89" s="368" t="n"/>
      <c r="AL89" s="368" t="n"/>
      <c r="AM89" s="368" t="n"/>
      <c r="AN89" s="368" t="n"/>
      <c r="AO89" s="368" t="n"/>
      <c r="AP89" s="368" t="n"/>
      <c r="AQ89" s="368" t="n"/>
      <c r="AR89" s="368" t="n"/>
      <c r="AS89" s="368" t="n"/>
      <c r="AT89" s="368" t="n"/>
      <c r="AU89" s="368" t="n"/>
      <c r="AV89" s="368" t="n"/>
      <c r="AW89" s="358" t="n"/>
      <c r="AX89" s="358" t="n"/>
      <c r="AY89" s="358" t="n"/>
      <c r="AZ89" s="358" t="n"/>
      <c r="BA89" s="358" t="n"/>
      <c r="BB89" s="358" t="n"/>
      <c r="BC89" s="358" t="n"/>
      <c r="BD89" s="358" t="n"/>
      <c r="BE89" s="358" t="n"/>
      <c r="BF89" s="358" t="n"/>
      <c r="BG89" s="358" t="n"/>
      <c r="BH89" s="358" t="n"/>
      <c r="BI89" s="358" t="n"/>
      <c r="BJ89" s="358" t="n"/>
      <c r="BK89" s="358" t="n"/>
      <c r="BL89" s="358" t="n"/>
      <c r="BM89" s="358" t="n"/>
      <c r="BN89" s="358" t="n"/>
      <c r="BO89" s="358" t="n"/>
      <c r="BP89" s="358" t="n"/>
      <c r="BQ89" s="358" t="n"/>
      <c r="BR89" s="358" t="n"/>
      <c r="BS89" s="358" t="n"/>
      <c r="BT89" s="358" t="n"/>
      <c r="BU89" s="358" t="n"/>
      <c r="BV89" s="358" t="n"/>
      <c r="BW89" s="358" t="n"/>
      <c r="BX89" s="358" t="n"/>
      <c r="BY89" s="358" t="n"/>
      <c r="BZ89" s="358" t="n"/>
      <c r="CA89" s="358" t="n"/>
      <c r="CB89" s="358" t="n"/>
      <c r="CC89" s="358" t="n"/>
      <c r="CD89" s="358" t="n"/>
      <c r="CE89" s="358" t="n"/>
      <c r="CF89" s="358" t="n"/>
      <c r="CG89" s="358" t="n"/>
      <c r="CH89" s="358" t="n"/>
      <c r="CI89" s="358" t="n"/>
      <c r="CJ89" s="358" t="n"/>
      <c r="CK89" s="358" t="n"/>
      <c r="CL89" s="358" t="n"/>
      <c r="CM89" s="358" t="n"/>
      <c r="CN89" s="358" t="n"/>
      <c r="CO89" s="358" t="n"/>
      <c r="CP89" s="358" t="n"/>
      <c r="CQ89" s="358" t="n"/>
      <c r="CR89" s="358" t="n"/>
      <c r="CS89" s="358" t="n"/>
      <c r="CT89" s="358" t="n"/>
      <c r="CU89" s="358" t="n"/>
      <c r="CV89" s="358" t="n"/>
      <c r="CW89" s="358" t="n"/>
      <c r="CX89" s="358" t="n"/>
      <c r="CY89" s="358" t="n"/>
      <c r="CZ89" s="358" t="n"/>
      <c r="DA89" s="358" t="n"/>
      <c r="DB89" s="358" t="n"/>
      <c r="DC89" s="358" t="n"/>
      <c r="DD89" s="358" t="n"/>
      <c r="DE89" s="358" t="n"/>
      <c r="DF89" s="359" t="n"/>
    </row>
    <row r="90" ht="13.35" customHeight="1" s="276">
      <c r="A90" s="61" t="inlineStr">
        <is>
          <t>N˚</t>
        </is>
      </c>
      <c r="B90" s="62" t="inlineStr">
        <is>
          <t>Rubricas</t>
        </is>
      </c>
      <c r="C90" s="61" t="inlineStr">
        <is>
          <t>Perc.</t>
        </is>
      </c>
      <c r="D90" s="61" t="inlineStr">
        <is>
          <t>Previsto</t>
        </is>
      </c>
      <c r="E90" s="61" t="inlineStr">
        <is>
          <t>Recebido</t>
        </is>
      </c>
      <c r="F90" s="61" t="inlineStr">
        <is>
          <t>A Receber</t>
        </is>
      </c>
      <c r="G90" s="61" t="inlineStr">
        <is>
          <t>Gasto</t>
        </is>
      </c>
      <c r="H90" s="61" t="inlineStr">
        <is>
          <t>Saldo</t>
        </is>
      </c>
      <c r="I90" s="360" t="inlineStr">
        <is>
          <t>A gastar</t>
        </is>
      </c>
      <c r="J90" s="361" t="inlineStr">
        <is>
          <t>Result.</t>
        </is>
      </c>
      <c r="K90" s="363" t="n"/>
      <c r="L90" s="83" t="inlineStr">
        <is>
          <t>Inicio</t>
        </is>
      </c>
      <c r="M90" s="369" t="n">
        <v>45530</v>
      </c>
      <c r="N90" s="363" t="n"/>
      <c r="O90" s="363" t="n"/>
      <c r="P90" s="363" t="n"/>
      <c r="Q90" s="363" t="n"/>
      <c r="R90" s="363" t="n"/>
      <c r="S90" s="363" t="n"/>
      <c r="T90" s="363" t="n"/>
      <c r="U90" s="363" t="n"/>
      <c r="V90" s="363" t="n"/>
      <c r="W90" s="363" t="n"/>
      <c r="X90" s="363" t="n"/>
      <c r="Y90" s="363" t="n"/>
      <c r="Z90" s="363" t="n"/>
      <c r="AA90" s="363" t="n"/>
      <c r="AB90" s="363" t="n"/>
      <c r="AC90" s="363" t="n"/>
      <c r="AD90" s="363" t="n"/>
      <c r="AE90" s="363" t="n"/>
      <c r="AF90" s="363" t="n"/>
      <c r="AG90" s="363" t="n"/>
      <c r="AH90" s="363" t="n"/>
      <c r="AI90" s="363" t="n"/>
      <c r="AJ90" s="363" t="n"/>
      <c r="AK90" s="363" t="n"/>
      <c r="AL90" s="363" t="n"/>
      <c r="AM90" s="363" t="n"/>
      <c r="AN90" s="363" t="n"/>
      <c r="AO90" s="363" t="n"/>
      <c r="AP90" s="363" t="n"/>
      <c r="AQ90" s="363" t="n"/>
      <c r="AR90" s="363" t="n"/>
      <c r="AS90" s="363" t="n"/>
      <c r="AT90" s="363" t="n"/>
      <c r="AU90" s="363" t="n"/>
      <c r="AV90" s="363" t="n"/>
      <c r="AW90" s="363" t="n"/>
      <c r="AX90" s="363" t="n"/>
      <c r="AY90" s="363" t="n"/>
      <c r="AZ90" s="363" t="n"/>
      <c r="BA90" s="363" t="n"/>
      <c r="BB90" s="363" t="n"/>
      <c r="BC90" s="363" t="n"/>
      <c r="BD90" s="363" t="n"/>
      <c r="BE90" s="363" t="n"/>
      <c r="BF90" s="363" t="n"/>
      <c r="BG90" s="363" t="n"/>
      <c r="BH90" s="363" t="n"/>
      <c r="BI90" s="363" t="n"/>
      <c r="BJ90" s="363" t="n"/>
      <c r="BK90" s="363" t="n"/>
      <c r="BL90" s="363" t="n"/>
      <c r="BM90" s="363" t="n"/>
      <c r="BN90" s="363" t="n"/>
      <c r="BO90" s="363" t="n"/>
      <c r="BP90" s="363" t="n"/>
      <c r="BQ90" s="363" t="n"/>
      <c r="BR90" s="363" t="n"/>
      <c r="BS90" s="363" t="n"/>
      <c r="BT90" s="363" t="n"/>
      <c r="BU90" s="363" t="n"/>
      <c r="BV90" s="363" t="n"/>
      <c r="BW90" s="363" t="n"/>
      <c r="BX90" s="363" t="n"/>
      <c r="BY90" s="363" t="n"/>
      <c r="BZ90" s="363" t="n"/>
      <c r="CA90" s="363" t="n"/>
      <c r="CB90" s="363" t="n"/>
      <c r="CC90" s="363" t="n"/>
      <c r="CD90" s="363" t="n"/>
      <c r="CE90" s="363" t="n"/>
      <c r="CF90" s="363" t="n"/>
      <c r="CG90" s="363" t="n"/>
      <c r="CH90" s="363" t="n"/>
      <c r="CI90" s="363" t="n"/>
      <c r="CJ90" s="363" t="n"/>
      <c r="CK90" s="363" t="n"/>
      <c r="CL90" s="363" t="n"/>
      <c r="CM90" s="363" t="n"/>
      <c r="CN90" s="363" t="n"/>
      <c r="CO90" s="363" t="n"/>
      <c r="CP90" s="363" t="n"/>
      <c r="CQ90" s="363" t="n"/>
      <c r="CR90" s="363" t="n"/>
      <c r="CS90" s="363" t="n"/>
      <c r="CT90" s="363" t="n"/>
      <c r="CU90" s="363" t="n"/>
      <c r="CV90" s="363" t="n"/>
      <c r="CW90" s="363" t="n"/>
      <c r="CX90" s="363" t="n"/>
      <c r="CY90" s="363" t="n"/>
      <c r="CZ90" s="363" t="n"/>
      <c r="DA90" s="363" t="n"/>
      <c r="DB90" s="363" t="n"/>
      <c r="DC90" s="363" t="n"/>
      <c r="DD90" s="363" t="n"/>
      <c r="DE90" s="363" t="n"/>
      <c r="DF90" s="362" t="n"/>
      <c r="DG90" s="362" t="n"/>
      <c r="DH90" s="362" t="n"/>
      <c r="DI90" s="362" t="n"/>
      <c r="DJ90" s="362" t="n"/>
      <c r="DK90" s="362" t="n"/>
      <c r="DL90" s="362" t="n"/>
      <c r="DM90" s="362" t="n"/>
      <c r="DN90" s="362" t="n"/>
      <c r="DO90" s="362" t="n"/>
      <c r="DP90" s="362" t="n"/>
      <c r="DQ90" s="362" t="n"/>
      <c r="DR90" s="362" t="n"/>
      <c r="DS90" s="362" t="n"/>
      <c r="DT90" s="362" t="n"/>
      <c r="DU90" s="362" t="n"/>
      <c r="DV90" s="362" t="n"/>
      <c r="DW90" s="362" t="n"/>
      <c r="DX90" s="362" t="n"/>
      <c r="DY90" s="362" t="n"/>
      <c r="DZ90" s="362" t="n"/>
      <c r="EA90" s="362" t="n"/>
      <c r="EB90" s="363" t="n"/>
      <c r="EC90" s="363" t="n"/>
      <c r="ED90" s="363" t="n"/>
    </row>
    <row r="91" ht="13.35" customHeight="1" s="276">
      <c r="A91" s="55" t="n">
        <v>1</v>
      </c>
      <c r="B91" s="254" t="inlineStr">
        <is>
          <t>Aplicação em Fundos</t>
        </is>
      </c>
      <c r="C91" s="63" t="n">
        <v>0</v>
      </c>
      <c r="D91" s="64" t="n">
        <v>0</v>
      </c>
      <c r="E91" s="65" t="n"/>
      <c r="F91" s="66" t="n">
        <v>0</v>
      </c>
      <c r="G91" s="64" t="n">
        <v>0</v>
      </c>
      <c r="H91" s="67" t="n">
        <v>15137.85</v>
      </c>
      <c r="I91" s="68" t="n">
        <v>0</v>
      </c>
      <c r="J91" s="69">
        <f>H91-I91</f>
        <v/>
      </c>
      <c r="K91" s="71" t="n"/>
      <c r="L91" s="83" t="inlineStr">
        <is>
          <t xml:space="preserve">Duração </t>
        </is>
      </c>
      <c r="M91" s="84" t="n"/>
      <c r="N91" s="71" t="n"/>
      <c r="O91" s="71" t="n"/>
      <c r="P91" s="71" t="n"/>
      <c r="Q91" s="71" t="n"/>
      <c r="R91" s="71" t="n"/>
      <c r="S91" s="71" t="n"/>
      <c r="T91" s="71" t="n"/>
      <c r="U91" s="71" t="n"/>
      <c r="V91" s="71" t="n"/>
      <c r="W91" s="71" t="n"/>
      <c r="X91" s="71" t="n"/>
      <c r="Y91" s="71" t="n"/>
      <c r="Z91" s="71" t="n"/>
      <c r="AA91" s="71" t="n"/>
      <c r="AB91" s="71" t="n"/>
      <c r="AC91" s="71" t="n"/>
      <c r="AD91" s="71" t="n"/>
      <c r="AE91" s="71" t="n"/>
      <c r="AF91" s="71" t="n"/>
      <c r="AG91" s="71" t="n"/>
      <c r="AH91" s="71" t="n"/>
      <c r="AI91" s="71" t="n"/>
      <c r="AJ91" s="71" t="n"/>
      <c r="AK91" s="71" t="n"/>
      <c r="AL91" s="71" t="n"/>
      <c r="AM91" s="71" t="n"/>
      <c r="AN91" s="71" t="n"/>
      <c r="AO91" s="71" t="n"/>
      <c r="AP91" s="71" t="n"/>
      <c r="AQ91" s="71" t="n"/>
      <c r="AR91" s="71" t="n"/>
      <c r="AS91" s="71" t="n"/>
      <c r="AT91" s="71" t="n"/>
      <c r="AU91" s="71" t="n"/>
      <c r="AV91" s="71" t="n"/>
      <c r="AW91" s="71" t="n"/>
      <c r="AX91" s="71" t="n"/>
      <c r="AY91" s="71" t="n"/>
      <c r="AZ91" s="71" t="n"/>
      <c r="BA91" s="71" t="n"/>
      <c r="BB91" s="71" t="n"/>
      <c r="BC91" s="71" t="n"/>
      <c r="BD91" s="71" t="n"/>
      <c r="BE91" s="71" t="n"/>
      <c r="BF91" s="71" t="n"/>
      <c r="BG91" s="71" t="n"/>
      <c r="BH91" s="71" t="n"/>
      <c r="BI91" s="71" t="n"/>
      <c r="BJ91" s="71" t="n"/>
      <c r="BK91" s="71" t="n"/>
      <c r="BL91" s="71" t="n"/>
      <c r="BM91" s="71" t="n"/>
      <c r="BN91" s="71" t="n"/>
      <c r="BO91" s="71" t="n"/>
      <c r="BP91" s="71" t="n"/>
      <c r="BQ91" s="71" t="n"/>
      <c r="BR91" s="71" t="n"/>
      <c r="BS91" s="71" t="n"/>
      <c r="BT91" s="71" t="n"/>
      <c r="BU91" s="71" t="n"/>
      <c r="BV91" s="71" t="n"/>
      <c r="BW91" s="71" t="n"/>
      <c r="BX91" s="71" t="n"/>
      <c r="BY91" s="71" t="n"/>
      <c r="BZ91" s="71" t="n"/>
      <c r="CA91" s="71" t="n"/>
      <c r="CB91" s="71" t="n"/>
      <c r="CC91" s="71" t="n"/>
      <c r="CD91" s="71" t="n"/>
      <c r="CE91" s="71" t="n"/>
      <c r="CF91" s="71" t="n"/>
      <c r="CG91" s="71" t="n"/>
      <c r="CH91" s="71" t="n"/>
      <c r="CI91" s="71" t="n"/>
      <c r="CJ91" s="71" t="n"/>
      <c r="CK91" s="71" t="n"/>
      <c r="CL91" s="71" t="n"/>
      <c r="CM91" s="71" t="n"/>
      <c r="CN91" s="71" t="n"/>
      <c r="CO91" s="71" t="n"/>
      <c r="CP91" s="71" t="n"/>
      <c r="CQ91" s="71" t="n"/>
      <c r="CR91" s="71" t="n"/>
      <c r="CS91" s="71" t="n"/>
      <c r="CT91" s="71" t="n"/>
      <c r="CU91" s="71" t="n"/>
      <c r="CV91" s="71" t="n"/>
      <c r="CW91" s="71" t="n"/>
      <c r="CX91" s="71" t="n"/>
      <c r="CY91" s="71" t="n"/>
      <c r="CZ91" s="71" t="n"/>
      <c r="DA91" s="71" t="n"/>
      <c r="DB91" s="71" t="n"/>
      <c r="DC91" s="71" t="n"/>
      <c r="DD91" s="71" t="n"/>
      <c r="DE91" s="71" t="n"/>
      <c r="DF91" s="70" t="n"/>
      <c r="DG91" s="70" t="n"/>
      <c r="DH91" s="70" t="n"/>
      <c r="DI91" s="70" t="n"/>
      <c r="DJ91" s="70" t="n"/>
      <c r="DK91" s="70" t="n"/>
      <c r="DL91" s="70" t="n"/>
      <c r="DM91" s="70" t="n"/>
      <c r="DN91" s="70" t="n"/>
      <c r="DO91" s="70" t="n"/>
      <c r="DP91" s="70" t="n"/>
      <c r="DQ91" s="70" t="n"/>
      <c r="DR91" s="70" t="n"/>
      <c r="DS91" s="70" t="n"/>
      <c r="DT91" s="70" t="n"/>
      <c r="DU91" s="70" t="n"/>
      <c r="DV91" s="70" t="n"/>
      <c r="DW91" s="70" t="n"/>
      <c r="DX91" s="70" t="n"/>
      <c r="DY91" s="70" t="n"/>
      <c r="DZ91" s="70" t="n"/>
      <c r="EA91" s="70" t="n"/>
      <c r="EB91" s="71" t="n"/>
      <c r="EC91" s="71" t="n"/>
      <c r="ED91" s="71" t="n"/>
    </row>
    <row r="92" ht="13.35" customHeight="1" s="276">
      <c r="A92" s="55">
        <f>A91+1</f>
        <v/>
      </c>
      <c r="B92" s="72" t="inlineStr">
        <is>
          <t>Custos do |Projeto</t>
        </is>
      </c>
      <c r="C92" s="63">
        <f>D92/22661520</f>
        <v/>
      </c>
      <c r="D92" s="64" t="n">
        <v>22661520</v>
      </c>
      <c r="E92" s="65" t="n">
        <v>12912464</v>
      </c>
      <c r="F92" s="66">
        <f>D92-E92</f>
        <v/>
      </c>
      <c r="G92" s="64">
        <f>-5308000-12912464</f>
        <v/>
      </c>
      <c r="H92" s="67">
        <f>E92+G92</f>
        <v/>
      </c>
      <c r="I92" s="68">
        <f>-P87</f>
        <v/>
      </c>
      <c r="J92" s="69">
        <f>E92+F92+G92+I92</f>
        <v/>
      </c>
      <c r="K92" s="71" t="n"/>
      <c r="L92" s="83" t="inlineStr">
        <is>
          <t>Fim</t>
        </is>
      </c>
      <c r="M92" s="369" t="n">
        <v>46503</v>
      </c>
      <c r="N92" s="71" t="n"/>
      <c r="O92" s="71" t="n"/>
      <c r="P92" s="71" t="n"/>
      <c r="Q92" s="71" t="n"/>
      <c r="R92" s="71" t="n"/>
      <c r="S92" s="71" t="n"/>
      <c r="T92" s="71" t="n"/>
      <c r="U92" s="71" t="n"/>
      <c r="V92" s="71" t="n"/>
      <c r="W92" s="71" t="n"/>
      <c r="X92" s="71" t="n"/>
      <c r="Y92" s="71" t="n"/>
      <c r="Z92" s="71" t="n"/>
      <c r="AA92" s="71" t="n"/>
      <c r="AB92" s="71" t="n"/>
      <c r="AC92" s="71" t="n"/>
      <c r="AD92" s="71" t="n"/>
      <c r="AE92" s="71" t="n"/>
      <c r="AF92" s="71" t="n"/>
      <c r="AG92" s="71" t="n"/>
      <c r="AH92" s="71" t="n"/>
      <c r="AI92" s="71" t="n"/>
      <c r="AJ92" s="71" t="n"/>
      <c r="AK92" s="71" t="n"/>
      <c r="AL92" s="71" t="n"/>
      <c r="AM92" s="71" t="n"/>
      <c r="AN92" s="71" t="n"/>
      <c r="AO92" s="71" t="n"/>
      <c r="AP92" s="71" t="n"/>
      <c r="AQ92" s="71" t="n"/>
      <c r="AR92" s="71" t="n"/>
      <c r="AS92" s="71" t="n"/>
      <c r="AT92" s="71" t="n"/>
      <c r="AU92" s="71" t="n"/>
      <c r="AV92" s="71" t="n"/>
      <c r="AW92" s="71" t="n"/>
      <c r="AX92" s="71" t="n"/>
      <c r="AY92" s="71" t="n"/>
      <c r="AZ92" s="71" t="n"/>
      <c r="BA92" s="71" t="n"/>
      <c r="BB92" s="71" t="n"/>
      <c r="BC92" s="71" t="n"/>
      <c r="BD92" s="71" t="n"/>
      <c r="BE92" s="71" t="n"/>
      <c r="BF92" s="71" t="n"/>
      <c r="BG92" s="71" t="n"/>
      <c r="BH92" s="71" t="n"/>
      <c r="BI92" s="71" t="n"/>
      <c r="BJ92" s="71" t="n"/>
      <c r="BK92" s="71" t="n"/>
      <c r="BL92" s="71" t="n"/>
      <c r="BM92" s="71" t="n"/>
      <c r="BN92" s="71" t="n"/>
      <c r="BO92" s="71" t="n"/>
      <c r="BP92" s="71" t="n"/>
      <c r="BQ92" s="71" t="n"/>
      <c r="BR92" s="71" t="n"/>
      <c r="BS92" s="71" t="n"/>
      <c r="BT92" s="71" t="n"/>
      <c r="BU92" s="71" t="n"/>
      <c r="BV92" s="71" t="n"/>
      <c r="BW92" s="71" t="n"/>
      <c r="BX92" s="71" t="n"/>
      <c r="BY92" s="71" t="n"/>
      <c r="BZ92" s="71" t="n"/>
      <c r="CA92" s="71" t="n"/>
      <c r="CB92" s="71" t="n"/>
      <c r="CC92" s="71" t="n"/>
      <c r="CD92" s="71" t="n"/>
      <c r="CE92" s="71" t="n"/>
      <c r="CF92" s="71" t="n"/>
      <c r="CG92" s="71" t="n"/>
      <c r="CH92" s="71" t="n"/>
      <c r="CI92" s="71" t="n"/>
      <c r="CJ92" s="71" t="n"/>
      <c r="CK92" s="71" t="n"/>
      <c r="CL92" s="71" t="n"/>
      <c r="CM92" s="71" t="n"/>
      <c r="CN92" s="71" t="n"/>
      <c r="CO92" s="71" t="n"/>
      <c r="CP92" s="71" t="n"/>
      <c r="CQ92" s="71" t="n"/>
      <c r="CR92" s="71" t="n"/>
      <c r="CS92" s="71" t="n"/>
      <c r="CT92" s="71" t="n"/>
      <c r="CU92" s="71" t="n"/>
      <c r="CV92" s="71" t="n"/>
      <c r="CW92" s="71" t="n"/>
      <c r="CX92" s="71" t="n"/>
      <c r="CY92" s="71" t="n"/>
      <c r="CZ92" s="71" t="n"/>
      <c r="DA92" s="71" t="n"/>
      <c r="DB92" s="71" t="n"/>
      <c r="DC92" s="71" t="n"/>
      <c r="DD92" s="71" t="n"/>
      <c r="DE92" s="71" t="n"/>
      <c r="DF92" s="70" t="n"/>
      <c r="DG92" s="70" t="n"/>
      <c r="DH92" s="70" t="n"/>
      <c r="DI92" s="70" t="n"/>
      <c r="DJ92" s="70" t="n"/>
      <c r="DK92" s="70" t="n"/>
      <c r="DL92" s="70" t="n"/>
      <c r="DM92" s="70" t="n"/>
      <c r="DN92" s="70" t="n"/>
      <c r="DO92" s="70" t="n"/>
      <c r="DP92" s="70" t="n"/>
      <c r="DQ92" s="70" t="n"/>
      <c r="DR92" s="70" t="n"/>
      <c r="DS92" s="70" t="n"/>
      <c r="DT92" s="70" t="n"/>
      <c r="DU92" s="70" t="n"/>
      <c r="DV92" s="70" t="n"/>
      <c r="DW92" s="70" t="n"/>
      <c r="DX92" s="70" t="n"/>
      <c r="DY92" s="70" t="n"/>
      <c r="DZ92" s="70" t="n"/>
      <c r="EA92" s="70" t="n"/>
      <c r="EB92" s="71" t="n"/>
      <c r="EC92" s="71" t="n"/>
      <c r="ED92" s="71" t="n"/>
    </row>
    <row r="93" ht="13.35" customHeight="1" s="276">
      <c r="A93" s="76" t="n"/>
      <c r="B93" s="62" t="inlineStr">
        <is>
          <t>Totais</t>
        </is>
      </c>
      <c r="C93" s="77">
        <f>SUM(C92:C92)</f>
        <v/>
      </c>
      <c r="D93" s="78">
        <f>SUM(D91:D92)</f>
        <v/>
      </c>
      <c r="E93" s="78">
        <f>SUM(E91:E92)</f>
        <v/>
      </c>
      <c r="F93" s="78">
        <f>SUM(F91:F92)</f>
        <v/>
      </c>
      <c r="G93" s="78">
        <f>SUM(G91:G92)</f>
        <v/>
      </c>
      <c r="H93" s="78">
        <f>SUM(H91:H92)</f>
        <v/>
      </c>
      <c r="I93" s="78">
        <f>SUM(I91:I92)</f>
        <v/>
      </c>
      <c r="J93" s="78">
        <f>SUM(J91:J92)</f>
        <v/>
      </c>
      <c r="K93" s="85" t="n"/>
      <c r="M93" s="85" t="n"/>
      <c r="N93" s="85" t="n"/>
      <c r="O93" s="85" t="n"/>
      <c r="P93" s="85" t="n"/>
      <c r="Q93" s="85" t="n"/>
      <c r="R93" s="85" t="n"/>
      <c r="S93" s="85" t="n"/>
      <c r="T93" s="85" t="n"/>
      <c r="U93" s="85" t="n"/>
      <c r="V93" s="85" t="n"/>
      <c r="W93" s="85" t="n"/>
      <c r="X93" s="85" t="n"/>
      <c r="Y93" s="85" t="n"/>
      <c r="Z93" s="85" t="n"/>
      <c r="AA93" s="85" t="n"/>
      <c r="AB93" s="85" t="n"/>
      <c r="AC93" s="85" t="n"/>
      <c r="AD93" s="85" t="n"/>
      <c r="AE93" s="85" t="n"/>
      <c r="AF93" s="85" t="n"/>
      <c r="AG93" s="85" t="n"/>
      <c r="AH93" s="71" t="n"/>
      <c r="AI93" s="71" t="n"/>
      <c r="AJ93" s="71" t="n"/>
      <c r="AK93" s="71" t="n"/>
      <c r="AL93" s="71" t="n"/>
      <c r="AM93" s="71" t="n"/>
      <c r="AN93" s="71" t="n"/>
      <c r="AO93" s="71" t="n"/>
      <c r="AP93" s="71" t="n"/>
      <c r="AQ93" s="71" t="n"/>
      <c r="AR93" s="71" t="n"/>
      <c r="AS93" s="71" t="n"/>
      <c r="AT93" s="71" t="n"/>
      <c r="AU93" s="71" t="n"/>
      <c r="AV93" s="71" t="n"/>
      <c r="AW93" s="71" t="n"/>
      <c r="AX93" s="71" t="n"/>
      <c r="AY93" s="71" t="n"/>
      <c r="AZ93" s="71" t="n"/>
      <c r="BA93" s="71" t="n"/>
      <c r="BB93" s="71" t="n"/>
      <c r="BC93" s="71" t="n"/>
      <c r="BD93" s="71" t="n"/>
      <c r="BE93" s="71" t="n"/>
      <c r="BF93" s="71" t="n"/>
      <c r="BG93" s="71" t="n"/>
      <c r="BH93" s="71" t="n"/>
      <c r="BI93" s="71" t="n"/>
      <c r="BJ93" s="71" t="n"/>
      <c r="BK93" s="71" t="n"/>
      <c r="BL93" s="71" t="n"/>
      <c r="BM93" s="71" t="n"/>
      <c r="BN93" s="71" t="n"/>
      <c r="BO93" s="71" t="n"/>
      <c r="BP93" s="71" t="n"/>
      <c r="BQ93" s="71" t="n"/>
      <c r="BR93" s="71" t="n"/>
      <c r="BS93" s="71" t="n"/>
      <c r="BT93" s="71" t="n"/>
      <c r="BU93" s="71" t="n"/>
      <c r="BV93" s="71" t="n"/>
      <c r="BW93" s="71" t="n"/>
      <c r="BX93" s="71" t="n"/>
      <c r="BY93" s="71" t="n"/>
      <c r="BZ93" s="71" t="n"/>
      <c r="CA93" s="71" t="n"/>
      <c r="CB93" s="71" t="n"/>
      <c r="CC93" s="71" t="n"/>
      <c r="CD93" s="71" t="n"/>
      <c r="CE93" s="71" t="n"/>
      <c r="CF93" s="71" t="n"/>
      <c r="CG93" s="71" t="n"/>
      <c r="CH93" s="71" t="n"/>
      <c r="CI93" s="71" t="n"/>
      <c r="CJ93" s="71" t="n"/>
      <c r="CK93" s="71" t="n"/>
      <c r="CL93" s="71" t="n"/>
      <c r="CM93" s="71" t="n"/>
      <c r="CN93" s="71" t="n"/>
      <c r="CO93" s="71" t="n"/>
      <c r="CP93" s="71" t="n"/>
      <c r="CQ93" s="71" t="n"/>
      <c r="CR93" s="71" t="n"/>
      <c r="CS93" s="71" t="n"/>
      <c r="CT93" s="71" t="n"/>
      <c r="CU93" s="71" t="n"/>
      <c r="CV93" s="71" t="n"/>
      <c r="CW93" s="71" t="n"/>
      <c r="CX93" s="71" t="n"/>
      <c r="CY93" s="71" t="n"/>
      <c r="CZ93" s="71" t="n"/>
      <c r="DA93" s="71" t="n"/>
      <c r="DB93" s="71" t="n"/>
      <c r="DC93" s="71" t="n"/>
      <c r="DD93" s="71" t="n"/>
      <c r="DE93" s="71" t="n"/>
      <c r="DF93" s="70" t="n"/>
      <c r="DG93" s="70" t="n"/>
      <c r="DH93" s="70" t="n"/>
      <c r="DI93" s="70" t="n"/>
      <c r="DJ93" s="70" t="n"/>
      <c r="DK93" s="70" t="n"/>
      <c r="DL93" s="70" t="n"/>
      <c r="DM93" s="70" t="n"/>
      <c r="DN93" s="70" t="n"/>
      <c r="DO93" s="70" t="n"/>
      <c r="DP93" s="70" t="n"/>
      <c r="DQ93" s="70" t="n"/>
      <c r="DR93" s="70" t="n"/>
      <c r="DS93" s="70" t="n"/>
      <c r="DT93" s="70" t="n"/>
      <c r="DU93" s="70" t="n"/>
      <c r="DV93" s="70" t="n"/>
      <c r="DW93" s="70" t="n"/>
      <c r="DX93" s="70" t="n"/>
      <c r="DY93" s="70" t="n"/>
      <c r="DZ93" s="70" t="n"/>
      <c r="EA93" s="70" t="n"/>
      <c r="EB93" s="71" t="n"/>
      <c r="EC93" s="71" t="n"/>
      <c r="ED93" s="71" t="n"/>
    </row>
    <row r="94">
      <c r="A94" s="47" t="n"/>
    </row>
    <row r="95">
      <c r="A95" s="47" t="n"/>
    </row>
    <row r="96">
      <c r="A96" s="47" t="n"/>
      <c r="E96" s="71" t="n"/>
    </row>
    <row r="97">
      <c r="A97" s="47" t="n"/>
    </row>
    <row r="98">
      <c r="A98" s="47" t="n"/>
    </row>
    <row r="99">
      <c r="A99" s="47" t="n"/>
    </row>
    <row r="100">
      <c r="A100" s="47" t="n"/>
    </row>
    <row r="101">
      <c r="A101" s="47" t="n"/>
    </row>
    <row r="102">
      <c r="A102" s="47" t="n"/>
    </row>
    <row r="103">
      <c r="A103" s="47" t="n"/>
    </row>
    <row r="104">
      <c r="A104" s="47" t="n"/>
    </row>
    <row r="105">
      <c r="A105" s="47" t="n"/>
    </row>
    <row r="106">
      <c r="A106" s="47" t="n"/>
    </row>
    <row r="107">
      <c r="A107" s="47" t="n"/>
    </row>
    <row r="108">
      <c r="A108" s="47" t="n"/>
    </row>
    <row r="109">
      <c r="A109" s="47" t="n"/>
    </row>
    <row r="110">
      <c r="A110" s="47" t="n"/>
    </row>
    <row r="111">
      <c r="A111" s="47" t="n"/>
    </row>
    <row r="112">
      <c r="A112" s="47" t="n"/>
    </row>
    <row r="113">
      <c r="A113" s="47" t="n"/>
    </row>
    <row r="114">
      <c r="A114" s="47" t="n"/>
    </row>
    <row r="115">
      <c r="A115" s="47" t="n"/>
    </row>
    <row r="116">
      <c r="A116" s="47" t="n"/>
    </row>
    <row r="117">
      <c r="A117" s="47" t="n"/>
    </row>
    <row r="118">
      <c r="A118" s="47" t="n"/>
    </row>
    <row r="119">
      <c r="A119" s="47" t="n"/>
    </row>
    <row r="120">
      <c r="A120" s="47" t="n"/>
    </row>
    <row r="121">
      <c r="A121" s="47" t="n"/>
    </row>
    <row r="122">
      <c r="A122" s="47" t="n"/>
    </row>
    <row r="123">
      <c r="A123" s="47" t="n"/>
    </row>
    <row r="124">
      <c r="A124" s="47" t="n"/>
    </row>
    <row r="125">
      <c r="A125" s="47" t="n"/>
    </row>
    <row r="126">
      <c r="A126" s="47" t="n"/>
    </row>
    <row r="127">
      <c r="A127" s="47" t="n"/>
    </row>
    <row r="128">
      <c r="A128" s="47" t="n"/>
    </row>
    <row r="129">
      <c r="A129" s="47" t="n"/>
    </row>
    <row r="130">
      <c r="A130" s="47" t="n"/>
    </row>
    <row r="131">
      <c r="A131" s="47" t="n"/>
    </row>
    <row r="132">
      <c r="A132" s="47" t="n"/>
    </row>
    <row r="133">
      <c r="A133" s="47" t="n"/>
    </row>
    <row r="134">
      <c r="A134" s="47" t="n"/>
    </row>
    <row r="135" ht="14.25" customHeight="1" s="276">
      <c r="A135" s="47" t="n"/>
    </row>
    <row r="136" ht="14.25" customHeight="1" s="276">
      <c r="A136" s="47" t="n"/>
    </row>
    <row r="137" ht="14.25" customHeight="1" s="276">
      <c r="A137" s="47" t="n"/>
    </row>
    <row r="138" ht="14.25" customHeight="1" s="276">
      <c r="A138" s="47" t="n"/>
    </row>
    <row r="139" ht="14.25" customHeight="1" s="276">
      <c r="A139" s="47" t="n"/>
    </row>
    <row r="140" ht="14.25" customHeight="1" s="276">
      <c r="A140" s="47" t="n"/>
    </row>
    <row r="141" ht="14.25" customHeight="1" s="276">
      <c r="A141" s="47" t="n"/>
    </row>
    <row r="142" ht="14.25" customHeight="1" s="276">
      <c r="A142" s="47" t="n"/>
    </row>
    <row r="143" ht="14.25" customHeight="1" s="276">
      <c r="A143" s="47" t="n"/>
    </row>
    <row r="144" ht="14.25" customHeight="1" s="276">
      <c r="A144" s="47" t="n"/>
    </row>
    <row r="145" ht="14.25" customHeight="1" s="276">
      <c r="A145" s="47" t="n"/>
    </row>
    <row r="146" ht="14.25" customHeight="1" s="276">
      <c r="A146" s="47" t="n"/>
    </row>
    <row r="147" ht="14.25" customHeight="1" s="276">
      <c r="A147" s="47" t="n"/>
    </row>
    <row r="148" ht="14.25" customHeight="1" s="276">
      <c r="A148" s="47" t="n"/>
    </row>
    <row r="149" ht="14.25" customHeight="1" s="276">
      <c r="A149" s="47" t="n"/>
    </row>
    <row r="150" ht="14.25" customHeight="1" s="276">
      <c r="A150" s="47" t="n"/>
    </row>
    <row r="151" ht="14.25" customHeight="1" s="276">
      <c r="A151" s="47" t="n"/>
    </row>
    <row r="152" ht="14.25" customHeight="1" s="276">
      <c r="A152" s="47" t="n"/>
    </row>
    <row r="153" ht="14.25" customHeight="1" s="276">
      <c r="A153" s="47" t="n"/>
    </row>
    <row r="154" ht="14.25" customHeight="1" s="276">
      <c r="A154" s="47" t="n"/>
    </row>
    <row r="155" ht="14.25" customHeight="1" s="276">
      <c r="A155" s="47" t="n"/>
    </row>
    <row r="156" ht="14.25" customHeight="1" s="276">
      <c r="A156" s="47" t="n"/>
    </row>
    <row r="157" ht="14.25" customHeight="1" s="276">
      <c r="A157" s="47" t="n"/>
    </row>
    <row r="158" ht="14.25" customHeight="1" s="276">
      <c r="A158" s="47" t="n"/>
    </row>
    <row r="159" ht="14.25" customHeight="1" s="276">
      <c r="A159" s="47" t="n"/>
    </row>
    <row r="160" ht="14.25" customHeight="1" s="276">
      <c r="A160" s="47" t="n"/>
    </row>
    <row r="161" ht="14.25" customHeight="1" s="276">
      <c r="A161" s="47" t="n"/>
    </row>
    <row r="162" ht="14.25" customHeight="1" s="276">
      <c r="A162" s="47" t="n"/>
    </row>
    <row r="163" ht="14.25" customHeight="1" s="276">
      <c r="A163" s="47" t="n"/>
    </row>
    <row r="164" ht="14.25" customHeight="1" s="276">
      <c r="A164" s="47" t="n"/>
    </row>
    <row r="165" ht="14.25" customHeight="1" s="276">
      <c r="A165" s="47" t="n"/>
    </row>
    <row r="166" ht="14.25" customHeight="1" s="276">
      <c r="A166" s="47" t="n"/>
    </row>
    <row r="167" ht="14.25" customHeight="1" s="276">
      <c r="A167" s="47" t="n"/>
    </row>
    <row r="168" ht="14.25" customHeight="1" s="276">
      <c r="A168" s="47" t="n"/>
    </row>
    <row r="169" ht="14.25" customHeight="1" s="276">
      <c r="A169" s="47" t="n"/>
    </row>
    <row r="170" ht="14.25" customHeight="1" s="276">
      <c r="A170" s="47" t="n"/>
    </row>
    <row r="171" ht="14.25" customHeight="1" s="276">
      <c r="A171" s="47" t="n"/>
    </row>
    <row r="172" ht="14.25" customHeight="1" s="276">
      <c r="A172" s="47" t="n"/>
    </row>
    <row r="173" ht="14.25" customHeight="1" s="276">
      <c r="A173" s="47" t="n"/>
    </row>
    <row r="174" ht="14.25" customHeight="1" s="276">
      <c r="A174" s="47" t="n"/>
    </row>
    <row r="175" ht="14.25" customHeight="1" s="276">
      <c r="A175" s="47" t="n"/>
    </row>
    <row r="176" ht="14.25" customHeight="1" s="276">
      <c r="A176" s="47" t="n"/>
    </row>
    <row r="177" ht="14.25" customHeight="1" s="276">
      <c r="A177" s="47" t="n"/>
    </row>
    <row r="178" ht="14.25" customHeight="1" s="276">
      <c r="A178" s="47" t="n"/>
    </row>
    <row r="179" ht="14.25" customHeight="1" s="276">
      <c r="A179" s="47" t="n"/>
    </row>
    <row r="180" ht="14.25" customHeight="1" s="276">
      <c r="A180" s="47" t="n"/>
    </row>
    <row r="181" ht="14.25" customHeight="1" s="276">
      <c r="A181" s="47" t="n"/>
    </row>
    <row r="182" ht="14.25" customHeight="1" s="276">
      <c r="A182" s="47" t="n"/>
    </row>
    <row r="183" ht="14.25" customHeight="1" s="276">
      <c r="A183" s="47" t="n"/>
    </row>
    <row r="184" ht="14.25" customHeight="1" s="276">
      <c r="A184" s="47" t="n"/>
    </row>
    <row r="185" ht="14.25" customHeight="1" s="276">
      <c r="A185" s="47" t="n"/>
    </row>
    <row r="186" ht="14.25" customHeight="1" s="276">
      <c r="A186" s="47" t="n"/>
    </row>
    <row r="187" ht="14.25" customHeight="1" s="276">
      <c r="A187" s="47" t="n"/>
    </row>
    <row r="188" ht="14.25" customHeight="1" s="276">
      <c r="A188" s="47" t="n"/>
    </row>
    <row r="189" ht="14.25" customHeight="1" s="276">
      <c r="A189" s="47" t="n"/>
    </row>
    <row r="190" ht="14.25" customHeight="1" s="276">
      <c r="A190" s="47" t="n"/>
    </row>
    <row r="191" ht="14.25" customHeight="1" s="276">
      <c r="A191" s="47" t="n"/>
    </row>
    <row r="192" ht="14.25" customHeight="1" s="276">
      <c r="A192" s="47" t="n"/>
    </row>
    <row r="193" ht="14.25" customHeight="1" s="276">
      <c r="A193" s="47" t="n"/>
    </row>
    <row r="194" ht="14.25" customHeight="1" s="276">
      <c r="A194" s="47" t="n"/>
    </row>
    <row r="195" ht="14.25" customHeight="1" s="276">
      <c r="A195" s="47" t="n"/>
    </row>
    <row r="196" ht="14.25" customHeight="1" s="276">
      <c r="A196" s="47" t="n"/>
    </row>
    <row r="197" ht="14.25" customHeight="1" s="276">
      <c r="A197" s="47" t="n"/>
    </row>
    <row r="198" ht="14.25" customHeight="1" s="276">
      <c r="A198" s="47" t="n"/>
    </row>
    <row r="199" ht="14.25" customHeight="1" s="276">
      <c r="A199" s="47" t="n"/>
    </row>
    <row r="200" ht="14.25" customHeight="1" s="276">
      <c r="A200" s="47" t="n"/>
    </row>
    <row r="201" ht="14.25" customHeight="1" s="276">
      <c r="A201" s="47" t="n"/>
    </row>
    <row r="202" ht="14.25" customHeight="1" s="276">
      <c r="A202" s="47" t="n"/>
    </row>
    <row r="203" ht="14.25" customHeight="1" s="276">
      <c r="A203" s="47" t="n"/>
    </row>
    <row r="204" ht="14.25" customHeight="1" s="276">
      <c r="A204" s="47" t="n"/>
    </row>
    <row r="205" ht="14.25" customHeight="1" s="276">
      <c r="A205" s="47" t="n"/>
    </row>
    <row r="206" ht="14.25" customHeight="1" s="276">
      <c r="A206" s="47" t="n"/>
    </row>
    <row r="207" ht="14.25" customHeight="1" s="276">
      <c r="A207" s="47" t="n"/>
    </row>
    <row r="208" ht="14.25" customHeight="1" s="276">
      <c r="A208" s="47" t="n"/>
    </row>
    <row r="209" ht="14.25" customHeight="1" s="276">
      <c r="A209" s="47" t="n"/>
    </row>
    <row r="210" ht="14.25" customHeight="1" s="276">
      <c r="A210" s="47" t="n"/>
    </row>
    <row r="211" ht="14.25" customHeight="1" s="276">
      <c r="A211" s="47" t="n"/>
    </row>
    <row r="212" ht="14.25" customHeight="1" s="276">
      <c r="A212" s="47" t="n"/>
    </row>
    <row r="213" ht="14.25" customHeight="1" s="276">
      <c r="A213" s="47" t="n"/>
    </row>
    <row r="214" ht="14.25" customHeight="1" s="276">
      <c r="A214" s="47" t="n"/>
    </row>
    <row r="215" ht="14.25" customHeight="1" s="276">
      <c r="A215" s="47" t="n"/>
    </row>
    <row r="216" ht="14.25" customHeight="1" s="276">
      <c r="A216" s="47" t="n"/>
    </row>
    <row r="217" ht="14.25" customHeight="1" s="276">
      <c r="A217" s="47" t="n"/>
    </row>
    <row r="218" ht="14.25" customHeight="1" s="276">
      <c r="A218" s="47" t="n"/>
    </row>
    <row r="219" ht="14.25" customHeight="1" s="276">
      <c r="A219" s="47" t="n"/>
    </row>
    <row r="220" ht="14.25" customHeight="1" s="276">
      <c r="A220" s="47" t="n"/>
    </row>
    <row r="221" ht="14.25" customHeight="1" s="276">
      <c r="A221" s="47" t="n"/>
    </row>
    <row r="222" ht="14.25" customHeight="1" s="276">
      <c r="A222" s="47" t="n"/>
    </row>
    <row r="223" ht="14.25" customHeight="1" s="276">
      <c r="A223" s="47" t="n"/>
    </row>
    <row r="224" ht="14.25" customHeight="1" s="276">
      <c r="A224" s="47" t="n"/>
    </row>
    <row r="225" ht="14.25" customHeight="1" s="276">
      <c r="A225" s="47" t="n"/>
    </row>
    <row r="226" ht="14.25" customHeight="1" s="276">
      <c r="A226" s="47" t="n"/>
    </row>
    <row r="227" ht="14.25" customHeight="1" s="276">
      <c r="A227" s="47" t="n"/>
    </row>
    <row r="228" ht="14.25" customHeight="1" s="276">
      <c r="A228" s="47" t="n"/>
    </row>
    <row r="229" ht="14.25" customHeight="1" s="276">
      <c r="A229" s="47" t="n"/>
    </row>
    <row r="230" ht="14.25" customHeight="1" s="276">
      <c r="A230" s="47" t="n"/>
    </row>
    <row r="231" ht="14.25" customHeight="1" s="276">
      <c r="A231" s="47" t="n"/>
    </row>
    <row r="232" ht="14.25" customHeight="1" s="276">
      <c r="A232" s="47" t="n"/>
    </row>
    <row r="233" ht="14.25" customHeight="1" s="276">
      <c r="A233" s="47" t="n"/>
    </row>
    <row r="234" ht="14.25" customHeight="1" s="276">
      <c r="A234" s="47" t="n"/>
    </row>
    <row r="235" ht="14.25" customHeight="1" s="276">
      <c r="A235" s="47" t="n"/>
    </row>
    <row r="236" ht="14.25" customHeight="1" s="276">
      <c r="A236" s="47" t="n"/>
    </row>
    <row r="237" ht="14.25" customHeight="1" s="276">
      <c r="A237" s="47" t="n"/>
    </row>
    <row r="238" ht="14.25" customHeight="1" s="276">
      <c r="A238" s="47" t="n"/>
    </row>
    <row r="239" ht="14.25" customHeight="1" s="276">
      <c r="A239" s="47" t="n"/>
    </row>
    <row r="240" ht="14.25" customHeight="1" s="276">
      <c r="A240" s="47" t="n"/>
    </row>
    <row r="241" ht="14.25" customHeight="1" s="276">
      <c r="A241" s="47" t="n"/>
    </row>
    <row r="242" ht="14.25" customHeight="1" s="276">
      <c r="A242" s="47" t="n"/>
    </row>
    <row r="243" ht="14.25" customHeight="1" s="276">
      <c r="A243" s="47" t="n"/>
    </row>
    <row r="244" ht="14.25" customHeight="1" s="276">
      <c r="A244" s="47" t="n"/>
    </row>
    <row r="245" ht="14.25" customHeight="1" s="276">
      <c r="A245" s="47" t="n"/>
    </row>
    <row r="246" ht="14.25" customHeight="1" s="276">
      <c r="A246" s="47" t="n"/>
    </row>
    <row r="247" ht="14.25" customHeight="1" s="276">
      <c r="A247" s="47" t="n"/>
    </row>
    <row r="248" ht="14.25" customHeight="1" s="276">
      <c r="A248" s="47" t="n"/>
    </row>
    <row r="249" ht="14.25" customHeight="1" s="276">
      <c r="A249" s="47" t="n"/>
    </row>
    <row r="250" ht="14.25" customHeight="1" s="276">
      <c r="A250" s="47" t="n"/>
    </row>
    <row r="251" ht="14.25" customHeight="1" s="276">
      <c r="A251" s="47" t="n"/>
    </row>
    <row r="252" ht="14.25" customHeight="1" s="276">
      <c r="A252" s="47" t="n"/>
    </row>
    <row r="253" ht="14.25" customHeight="1" s="276">
      <c r="A253" s="47" t="n"/>
    </row>
    <row r="254" ht="14.25" customHeight="1" s="276">
      <c r="A254" s="47" t="n"/>
    </row>
    <row r="255" ht="14.25" customHeight="1" s="276">
      <c r="A255" s="47" t="n"/>
    </row>
    <row r="256" ht="14.25" customHeight="1" s="276">
      <c r="A256" s="47" t="n"/>
    </row>
    <row r="257" ht="14.25" customHeight="1" s="276">
      <c r="A257" s="47" t="n"/>
    </row>
    <row r="258" ht="14.25" customHeight="1" s="276">
      <c r="A258" s="47" t="n"/>
    </row>
    <row r="259" ht="14.25" customHeight="1" s="276">
      <c r="A259" s="47" t="n"/>
    </row>
    <row r="260" ht="14.25" customHeight="1" s="276">
      <c r="A260" s="47" t="n"/>
    </row>
    <row r="261" ht="14.25" customHeight="1" s="276">
      <c r="A261" s="47" t="n"/>
    </row>
    <row r="262" ht="14.25" customHeight="1" s="276">
      <c r="A262" s="47" t="n"/>
    </row>
    <row r="263" ht="14.25" customHeight="1" s="276">
      <c r="A263" s="47" t="n"/>
    </row>
    <row r="264" ht="14.25" customHeight="1" s="276">
      <c r="A264" s="47" t="n"/>
    </row>
    <row r="265" ht="14.25" customHeight="1" s="276">
      <c r="A265" s="47" t="n"/>
    </row>
    <row r="266" ht="14.25" customHeight="1" s="276">
      <c r="A266" s="47" t="n"/>
    </row>
    <row r="267" ht="14.25" customHeight="1" s="276">
      <c r="A267" s="47" t="n"/>
    </row>
    <row r="268" ht="14.25" customHeight="1" s="276">
      <c r="A268" s="47" t="n"/>
    </row>
    <row r="269" ht="14.25" customHeight="1" s="276">
      <c r="A269" s="47" t="n"/>
    </row>
    <row r="270" ht="14.25" customHeight="1" s="276">
      <c r="A270" s="47" t="n"/>
    </row>
    <row r="271" ht="14.25" customHeight="1" s="276">
      <c r="A271" s="47" t="n"/>
    </row>
    <row r="272" ht="14.25" customHeight="1" s="276">
      <c r="A272" s="47" t="n"/>
    </row>
    <row r="273" ht="14.25" customHeight="1" s="276">
      <c r="A273" s="47" t="n"/>
    </row>
    <row r="274" ht="14.25" customHeight="1" s="276">
      <c r="A274" s="47" t="n"/>
    </row>
    <row r="275" ht="14.25" customHeight="1" s="276">
      <c r="A275" s="47" t="n"/>
    </row>
    <row r="276" ht="14.25" customHeight="1" s="276">
      <c r="A276" s="47" t="n"/>
    </row>
    <row r="277" ht="14.25" customHeight="1" s="276">
      <c r="A277" s="47" t="n"/>
    </row>
    <row r="278" ht="14.25" customHeight="1" s="276">
      <c r="A278" s="47" t="n"/>
    </row>
    <row r="279" ht="14.25" customHeight="1" s="276">
      <c r="A279" s="47" t="n"/>
    </row>
    <row r="280" ht="14.25" customHeight="1" s="276">
      <c r="A280" s="47" t="n"/>
    </row>
    <row r="281" ht="14.25" customHeight="1" s="276">
      <c r="A281" s="47" t="n"/>
    </row>
    <row r="282" ht="14.25" customHeight="1" s="276">
      <c r="A282" s="47" t="n"/>
    </row>
    <row r="283" ht="14.25" customHeight="1" s="276">
      <c r="A283" s="47" t="n"/>
    </row>
    <row r="284" ht="14.25" customHeight="1" s="276">
      <c r="A284" s="47" t="n"/>
    </row>
    <row r="285" ht="14.25" customHeight="1" s="276">
      <c r="A285" s="47" t="n"/>
    </row>
    <row r="286" ht="14.25" customHeight="1" s="276">
      <c r="A286" s="47" t="n"/>
    </row>
    <row r="287" ht="14.25" customHeight="1" s="276">
      <c r="A287" s="47" t="n"/>
    </row>
    <row r="288" ht="14.25" customHeight="1" s="276">
      <c r="A288" s="47" t="n"/>
    </row>
    <row r="289" ht="14.25" customHeight="1" s="276">
      <c r="A289" s="47" t="n"/>
    </row>
    <row r="290" ht="14.25" customHeight="1" s="276">
      <c r="A290" s="47" t="n"/>
    </row>
    <row r="291" ht="14.25" customHeight="1" s="276">
      <c r="A291" s="47" t="n"/>
    </row>
    <row r="292" ht="14.25" customHeight="1" s="276">
      <c r="A292" s="47" t="n"/>
    </row>
    <row r="293" ht="14.25" customHeight="1" s="276">
      <c r="A293" s="47" t="n"/>
    </row>
    <row r="294" ht="14.25" customHeight="1" s="276">
      <c r="A294" s="47" t="n"/>
    </row>
    <row r="295" ht="14.25" customHeight="1" s="276">
      <c r="A295" s="47" t="n"/>
    </row>
    <row r="296" ht="14.25" customHeight="1" s="276">
      <c r="A296" s="47" t="n"/>
    </row>
    <row r="297" ht="14.25" customHeight="1" s="276">
      <c r="A297" s="47" t="n"/>
    </row>
    <row r="298" ht="14.25" customHeight="1" s="276">
      <c r="A298" s="47" t="n"/>
    </row>
    <row r="299" ht="14.25" customHeight="1" s="276">
      <c r="A299" s="47" t="n"/>
    </row>
    <row r="300" ht="14.25" customHeight="1" s="276">
      <c r="A300" s="47" t="n"/>
    </row>
    <row r="301" ht="14.25" customHeight="1" s="276">
      <c r="A301" s="47" t="n"/>
    </row>
    <row r="302" ht="14.25" customHeight="1" s="276">
      <c r="A302" s="47" t="n"/>
    </row>
    <row r="303" ht="14.25" customHeight="1" s="276">
      <c r="A303" s="47" t="n"/>
    </row>
    <row r="304" ht="14.25" customHeight="1" s="276">
      <c r="A304" s="47" t="n"/>
    </row>
    <row r="305" ht="14.25" customHeight="1" s="276">
      <c r="A305" s="47" t="n"/>
    </row>
    <row r="306" ht="14.25" customHeight="1" s="276">
      <c r="A306" s="47" t="n"/>
    </row>
    <row r="307" ht="14.25" customHeight="1" s="276">
      <c r="A307" s="47" t="n"/>
    </row>
    <row r="308" ht="14.25" customHeight="1" s="276">
      <c r="A308" s="47" t="n"/>
    </row>
    <row r="309" ht="14.25" customHeight="1" s="276">
      <c r="A309" s="47" t="n"/>
    </row>
    <row r="310" ht="14.25" customHeight="1" s="276">
      <c r="A310" s="47" t="n"/>
    </row>
    <row r="311" ht="14.25" customHeight="1" s="276">
      <c r="A311" s="47" t="n"/>
    </row>
    <row r="312" ht="14.25" customHeight="1" s="276">
      <c r="A312" s="47" t="n"/>
    </row>
    <row r="313" ht="14.25" customHeight="1" s="276">
      <c r="A313" s="47" t="n"/>
    </row>
    <row r="314" ht="14.25" customHeight="1" s="276">
      <c r="A314" s="47" t="n"/>
    </row>
    <row r="315" ht="14.25" customHeight="1" s="276">
      <c r="A315" s="47" t="n"/>
    </row>
    <row r="316" ht="14.25" customHeight="1" s="276">
      <c r="A316" s="47" t="n"/>
    </row>
    <row r="317" ht="14.25" customHeight="1" s="276">
      <c r="A317" s="47" t="n"/>
    </row>
    <row r="318" ht="14.25" customHeight="1" s="276">
      <c r="A318" s="47" t="n"/>
    </row>
    <row r="319" ht="14.25" customHeight="1" s="276">
      <c r="A319" s="47" t="n"/>
    </row>
    <row r="320" ht="14.25" customHeight="1" s="276">
      <c r="A320" s="47" t="n"/>
    </row>
    <row r="321" ht="14.25" customHeight="1" s="276">
      <c r="A321" s="47" t="n"/>
    </row>
    <row r="322" ht="14.25" customHeight="1" s="276">
      <c r="A322" s="47" t="n"/>
    </row>
    <row r="323" ht="14.25" customHeight="1" s="276">
      <c r="A323" s="47" t="n"/>
    </row>
    <row r="324" ht="14.25" customHeight="1" s="276">
      <c r="A324" s="47" t="n"/>
    </row>
    <row r="325" ht="14.25" customHeight="1" s="276">
      <c r="A325" s="47" t="n"/>
    </row>
    <row r="326" ht="14.25" customHeight="1" s="276">
      <c r="A326" s="47" t="n"/>
    </row>
    <row r="327" ht="14.25" customHeight="1" s="276">
      <c r="A327" s="47" t="n"/>
    </row>
    <row r="328" ht="14.25" customHeight="1" s="276">
      <c r="A328" s="47" t="n"/>
    </row>
    <row r="329" ht="14.25" customHeight="1" s="276">
      <c r="A329" s="47" t="n"/>
    </row>
    <row r="330" ht="14.25" customHeight="1" s="276">
      <c r="A330" s="47" t="n"/>
    </row>
    <row r="331" ht="14.25" customHeight="1" s="276">
      <c r="A331" s="47" t="n"/>
    </row>
    <row r="332" ht="14.25" customHeight="1" s="276">
      <c r="A332" s="47" t="n"/>
    </row>
    <row r="333" ht="14.25" customHeight="1" s="276">
      <c r="A333" s="47" t="n"/>
    </row>
    <row r="334" ht="14.25" customHeight="1" s="276">
      <c r="A334" s="47" t="n"/>
    </row>
    <row r="335" ht="14.25" customHeight="1" s="276">
      <c r="A335" s="47" t="n"/>
    </row>
    <row r="336" ht="14.25" customHeight="1" s="276">
      <c r="A336" s="47" t="n"/>
    </row>
    <row r="337" ht="14.25" customHeight="1" s="276">
      <c r="A337" s="47" t="n"/>
    </row>
    <row r="338" ht="14.25" customHeight="1" s="276">
      <c r="A338" s="47" t="n"/>
    </row>
    <row r="339" ht="14.25" customHeight="1" s="276">
      <c r="A339" s="47" t="n"/>
    </row>
    <row r="340" ht="14.25" customHeight="1" s="276">
      <c r="A340" s="47" t="n"/>
    </row>
    <row r="341" ht="14.25" customHeight="1" s="276">
      <c r="A341" s="47" t="n"/>
    </row>
    <row r="342" ht="14.25" customHeight="1" s="276">
      <c r="A342" s="47" t="n"/>
    </row>
    <row r="343" ht="14.25" customHeight="1" s="276">
      <c r="A343" s="47" t="n"/>
    </row>
    <row r="344" ht="14.25" customHeight="1" s="276">
      <c r="A344" s="47" t="n"/>
    </row>
    <row r="345" ht="14.25" customHeight="1" s="276">
      <c r="A345" s="47" t="n"/>
    </row>
    <row r="346" ht="14.25" customHeight="1" s="276">
      <c r="A346" s="47" t="n"/>
    </row>
    <row r="347" ht="14.25" customHeight="1" s="276">
      <c r="A347" s="47" t="n"/>
    </row>
    <row r="348" ht="14.25" customHeight="1" s="276">
      <c r="A348" s="47" t="n"/>
    </row>
    <row r="349" ht="14.25" customHeight="1" s="276">
      <c r="A349" s="47" t="n"/>
    </row>
    <row r="350" ht="14.25" customHeight="1" s="276">
      <c r="A350" s="47" t="n"/>
    </row>
    <row r="351" ht="14.25" customHeight="1" s="276">
      <c r="A351" s="47" t="n"/>
    </row>
    <row r="352" ht="14.25" customHeight="1" s="276">
      <c r="A352" s="47" t="n"/>
    </row>
    <row r="353" ht="14.25" customHeight="1" s="276">
      <c r="A353" s="47" t="n"/>
    </row>
    <row r="354" ht="14.25" customHeight="1" s="276">
      <c r="A354" s="47" t="n"/>
    </row>
    <row r="355" ht="14.25" customHeight="1" s="276">
      <c r="A355" s="47" t="n"/>
    </row>
    <row r="356" ht="14.25" customHeight="1" s="276">
      <c r="A356" s="47" t="n"/>
    </row>
    <row r="357" ht="14.25" customHeight="1" s="276">
      <c r="A357" s="47" t="n"/>
    </row>
    <row r="358" ht="14.25" customHeight="1" s="276">
      <c r="A358" s="47" t="n"/>
    </row>
    <row r="359" ht="14.25" customHeight="1" s="276">
      <c r="A359" s="47" t="n"/>
    </row>
    <row r="360" ht="14.25" customHeight="1" s="276">
      <c r="A360" s="47" t="n"/>
    </row>
    <row r="361" ht="14.25" customHeight="1" s="276">
      <c r="A361" s="47" t="n"/>
    </row>
    <row r="362" ht="14.25" customHeight="1" s="276">
      <c r="A362" s="47" t="n"/>
    </row>
    <row r="363" ht="14.25" customHeight="1" s="276">
      <c r="A363" s="47" t="n"/>
    </row>
    <row r="364" ht="14.25" customHeight="1" s="276">
      <c r="A364" s="47" t="n"/>
    </row>
    <row r="365" ht="14.25" customHeight="1" s="276">
      <c r="A365" s="47" t="n"/>
    </row>
    <row r="366" ht="14.25" customHeight="1" s="276">
      <c r="A366" s="47" t="n"/>
    </row>
    <row r="367" ht="14.25" customHeight="1" s="276">
      <c r="A367" s="47" t="n"/>
    </row>
    <row r="368" ht="14.25" customHeight="1" s="276">
      <c r="A368" s="47" t="n"/>
    </row>
    <row r="369" ht="14.25" customHeight="1" s="276">
      <c r="A369" s="47" t="n"/>
    </row>
    <row r="370" ht="14.25" customHeight="1" s="276">
      <c r="A370" s="47" t="n"/>
    </row>
    <row r="371" ht="14.25" customHeight="1" s="276">
      <c r="A371" s="47" t="n"/>
    </row>
    <row r="372" ht="14.25" customHeight="1" s="276">
      <c r="A372" s="47" t="n"/>
    </row>
    <row r="373" ht="14.25" customHeight="1" s="276">
      <c r="A373" s="47" t="n"/>
    </row>
    <row r="374" ht="14.25" customHeight="1" s="276">
      <c r="A374" s="47" t="n"/>
    </row>
    <row r="375" ht="14.25" customHeight="1" s="276">
      <c r="A375" s="47" t="n"/>
    </row>
    <row r="376" ht="14.25" customHeight="1" s="276">
      <c r="A376" s="47" t="n"/>
    </row>
    <row r="377" ht="14.25" customHeight="1" s="276">
      <c r="A377" s="47" t="n"/>
    </row>
    <row r="378" ht="14.25" customHeight="1" s="276">
      <c r="A378" s="47" t="n"/>
    </row>
    <row r="379" ht="14.25" customHeight="1" s="276">
      <c r="A379" s="47" t="n"/>
    </row>
  </sheetData>
  <mergeCells count="86">
    <mergeCell ref="B11:D11"/>
    <mergeCell ref="B42:D42"/>
    <mergeCell ref="B60:D60"/>
    <mergeCell ref="B57:D57"/>
    <mergeCell ref="B44:D44"/>
    <mergeCell ref="B53:D53"/>
    <mergeCell ref="B34:D34"/>
    <mergeCell ref="B28:D28"/>
    <mergeCell ref="B37:D37"/>
    <mergeCell ref="B30:D30"/>
    <mergeCell ref="B6:D6"/>
    <mergeCell ref="B20:D20"/>
    <mergeCell ref="B80:D80"/>
    <mergeCell ref="B4:D4"/>
    <mergeCell ref="B62:D62"/>
    <mergeCell ref="B54:D54"/>
    <mergeCell ref="B72:D72"/>
    <mergeCell ref="B56:D56"/>
    <mergeCell ref="B70:D70"/>
    <mergeCell ref="B43:D43"/>
    <mergeCell ref="B8:D8"/>
    <mergeCell ref="B17:D17"/>
    <mergeCell ref="B73:D73"/>
    <mergeCell ref="B82:D82"/>
    <mergeCell ref="B10:D10"/>
    <mergeCell ref="B19:D19"/>
    <mergeCell ref="B9:D9"/>
    <mergeCell ref="B74:D74"/>
    <mergeCell ref="B68:D68"/>
    <mergeCell ref="B36:D36"/>
    <mergeCell ref="B5:D5"/>
    <mergeCell ref="B76:D76"/>
    <mergeCell ref="B45:D45"/>
    <mergeCell ref="B84:C84"/>
    <mergeCell ref="B75:D75"/>
    <mergeCell ref="B47:D47"/>
    <mergeCell ref="B59:D59"/>
    <mergeCell ref="B31:D31"/>
    <mergeCell ref="B46:D46"/>
    <mergeCell ref="B21:D21"/>
    <mergeCell ref="B39:D39"/>
    <mergeCell ref="B48:D48"/>
    <mergeCell ref="B14:D14"/>
    <mergeCell ref="B23:D23"/>
    <mergeCell ref="B13:D13"/>
    <mergeCell ref="B78:D78"/>
    <mergeCell ref="A83:D83"/>
    <mergeCell ref="B49:D49"/>
    <mergeCell ref="B65:D65"/>
    <mergeCell ref="B51:D51"/>
    <mergeCell ref="B63:D63"/>
    <mergeCell ref="B41:D41"/>
    <mergeCell ref="B35:D35"/>
    <mergeCell ref="B50:D50"/>
    <mergeCell ref="A87:D87"/>
    <mergeCell ref="B25:D25"/>
    <mergeCell ref="B66:D66"/>
    <mergeCell ref="B22:D22"/>
    <mergeCell ref="A88:C88"/>
    <mergeCell ref="B85:C85"/>
    <mergeCell ref="B12:D12"/>
    <mergeCell ref="B77:D77"/>
    <mergeCell ref="B67:D67"/>
    <mergeCell ref="B61:D61"/>
    <mergeCell ref="B29:D29"/>
    <mergeCell ref="B69:D69"/>
    <mergeCell ref="B38:D38"/>
    <mergeCell ref="B40:D40"/>
    <mergeCell ref="B15:D15"/>
    <mergeCell ref="B55:D55"/>
    <mergeCell ref="B24:D24"/>
    <mergeCell ref="B64:D64"/>
    <mergeCell ref="B33:D33"/>
    <mergeCell ref="B79:D79"/>
    <mergeCell ref="B32:D32"/>
    <mergeCell ref="B26:D26"/>
    <mergeCell ref="B7:D7"/>
    <mergeCell ref="B16:D16"/>
    <mergeCell ref="B81:D81"/>
    <mergeCell ref="B3:D3"/>
    <mergeCell ref="B71:D71"/>
    <mergeCell ref="A86:D86"/>
    <mergeCell ref="B18:D18"/>
    <mergeCell ref="B27:D27"/>
    <mergeCell ref="B58:D58"/>
    <mergeCell ref="B52:D52"/>
  </mergeCells>
  <conditionalFormatting sqref="E4:P82">
    <cfRule type="expression" priority="1" dxfId="1">
      <formula>ISBLANK(E4)</formula>
    </cfRule>
  </conditionalFormatting>
  <pageMargins left="0.5118110236220472" right="0.5118110236220472" top="0.7874015748031497" bottom="0.7874015748031497" header="0.3149606299212598" footer="0.3149606299212598"/>
  <pageSetup orientation="landscape" paperSize="9" scale="40" fitToWidth="2"/>
  <headerFooter>
    <oddHeader>&amp;C&amp;"Arial,Negrito"&amp;12 PRODESP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G48"/>
  <sheetViews>
    <sheetView view="pageBreakPreview" zoomScaleNormal="100" zoomScaleSheetLayoutView="100" workbookViewId="0">
      <pane ySplit="1" topLeftCell="A20" activePane="bottomLeft" state="frozen"/>
      <selection pane="bottomLeft" activeCell="E4" sqref="E4"/>
    </sheetView>
    <sheetView workbookViewId="1">
      <selection activeCell="A1" sqref="A1"/>
    </sheetView>
  </sheetViews>
  <sheetFormatPr baseColWidth="8" defaultColWidth="11.42578125" defaultRowHeight="12"/>
  <cols>
    <col width="4.85546875" bestFit="1" customWidth="1" style="59" min="1" max="1"/>
    <col width="19" customWidth="1" style="47" min="2" max="2"/>
    <col width="7" customWidth="1" style="47" min="3" max="3"/>
    <col width="10.42578125" customWidth="1" style="47" min="4" max="4"/>
    <col width="10.140625" customWidth="1" style="47" min="5" max="108"/>
    <col width="10.7109375" customWidth="1" style="47" min="109" max="116"/>
    <col width="9.5703125" customWidth="1" style="47" min="117" max="117"/>
    <col width="9.85546875" customWidth="1" style="47" min="118" max="118"/>
    <col width="9.140625" customWidth="1" style="47" min="119" max="119"/>
    <col width="9" customWidth="1" style="47" min="120" max="120"/>
    <col width="9.7109375" customWidth="1" style="47" min="121" max="121"/>
    <col width="10.28515625" customWidth="1" style="47" min="122" max="122"/>
    <col width="9.85546875" bestFit="1" customWidth="1" style="47" min="123" max="123"/>
    <col width="9" customWidth="1" style="47" min="124" max="124"/>
    <col width="9.85546875" bestFit="1" customWidth="1" style="47" min="125" max="125"/>
    <col width="9" customWidth="1" style="47" min="126" max="128"/>
    <col width="9.85546875" bestFit="1" customWidth="1" style="47" min="129" max="130"/>
    <col width="9.85546875" customWidth="1" style="47" min="131" max="131"/>
    <col width="11.7109375" customWidth="1" style="47" min="132" max="132"/>
    <col width="10.7109375" customWidth="1" style="47" min="133" max="133"/>
    <col width="10.140625" customWidth="1" style="47" min="134" max="134"/>
    <col width="9" customWidth="1" style="47" min="135" max="136"/>
    <col width="10.42578125" customWidth="1" style="47" min="137" max="137"/>
    <col width="11.42578125" customWidth="1" style="47" min="138" max="139"/>
    <col width="11.42578125" customWidth="1" style="47" min="140" max="16384"/>
  </cols>
  <sheetData>
    <row r="1" ht="18" customHeight="1" s="276">
      <c r="A1" s="43" t="inlineStr">
        <is>
          <t>N˚</t>
        </is>
      </c>
      <c r="B1" s="44" t="inlineStr">
        <is>
          <t>Receita</t>
        </is>
      </c>
      <c r="C1" s="45" t="n"/>
      <c r="D1" s="46" t="inlineStr">
        <is>
          <t>Até mai/26</t>
        </is>
      </c>
      <c r="E1" s="46" t="n">
        <v>46174</v>
      </c>
      <c r="F1" s="46" t="n">
        <v>46204</v>
      </c>
      <c r="G1" s="46" t="n">
        <v>46235</v>
      </c>
      <c r="H1" s="46" t="n">
        <v>46266</v>
      </c>
      <c r="I1" s="46" t="n">
        <v>46296</v>
      </c>
      <c r="J1" s="46" t="n">
        <v>46327</v>
      </c>
      <c r="K1" s="46" t="n">
        <v>46357</v>
      </c>
      <c r="L1" s="46" t="n">
        <v>46388</v>
      </c>
      <c r="M1" s="46" t="n">
        <v>46419</v>
      </c>
      <c r="N1" s="46" t="n">
        <v>46447</v>
      </c>
      <c r="O1" s="46" t="inlineStr">
        <is>
          <t>Totais</t>
        </is>
      </c>
    </row>
    <row r="2" ht="18" customHeight="1" s="276">
      <c r="A2" s="48" t="n">
        <v>1</v>
      </c>
      <c r="B2" s="49" t="inlineStr">
        <is>
          <t>Parcelas</t>
        </is>
      </c>
      <c r="C2" s="50" t="n"/>
      <c r="D2" s="346">
        <f>E45</f>
        <v/>
      </c>
      <c r="E2" s="347">
        <f>400462+794997.15+520629</f>
        <v/>
      </c>
      <c r="F2" s="347" t="n">
        <v>0</v>
      </c>
      <c r="G2" s="347" t="n">
        <v>390715</v>
      </c>
      <c r="H2" s="347" t="n">
        <v>0</v>
      </c>
      <c r="I2" s="347" t="n">
        <v>404706</v>
      </c>
      <c r="J2" s="347" t="n">
        <v>0</v>
      </c>
      <c r="K2" s="347" t="n">
        <v>374383</v>
      </c>
      <c r="L2" s="347" t="n">
        <v>0</v>
      </c>
      <c r="M2" s="347" t="n">
        <v>122341</v>
      </c>
      <c r="N2" s="347" t="n">
        <v>0</v>
      </c>
      <c r="O2" s="348">
        <f>SUM(D2:N2)</f>
        <v/>
      </c>
    </row>
    <row r="3" ht="18" customHeight="1" s="276">
      <c r="A3" s="51" t="inlineStr">
        <is>
          <t>N˚</t>
        </is>
      </c>
      <c r="B3" s="284" t="inlineStr">
        <is>
          <t>Despesas</t>
        </is>
      </c>
      <c r="C3" s="257" t="n"/>
      <c r="D3" s="255" t="n"/>
      <c r="E3" s="52">
        <f>E1</f>
        <v/>
      </c>
      <c r="F3" s="52">
        <f>F1</f>
        <v/>
      </c>
      <c r="G3" s="52">
        <f>G1</f>
        <v/>
      </c>
      <c r="H3" s="52">
        <f>H1</f>
        <v/>
      </c>
      <c r="I3" s="52">
        <f>I1</f>
        <v/>
      </c>
      <c r="J3" s="52">
        <f>J1</f>
        <v/>
      </c>
      <c r="K3" s="52">
        <f>K1</f>
        <v/>
      </c>
      <c r="L3" s="52">
        <f>L1</f>
        <v/>
      </c>
      <c r="M3" s="52">
        <f>M1</f>
        <v/>
      </c>
      <c r="N3" s="52">
        <f>N1</f>
        <v/>
      </c>
      <c r="O3" s="53" t="inlineStr">
        <is>
          <t>Totais</t>
        </is>
      </c>
    </row>
    <row r="4" ht="18" customFormat="1" customHeight="1" s="54">
      <c r="A4" s="48" t="n">
        <v>1</v>
      </c>
      <c r="B4" s="280" t="inlineStr">
        <is>
          <t>Adam Pereira Bidiaki</t>
        </is>
      </c>
      <c r="C4" s="257" t="n"/>
      <c r="D4" s="255" t="n"/>
      <c r="E4" s="349" t="n">
        <v>7305.2</v>
      </c>
      <c r="F4" s="349" t="n">
        <v>7305.2</v>
      </c>
      <c r="G4" s="349" t="n">
        <v>7305.2</v>
      </c>
      <c r="H4" s="349" t="n">
        <v>7305.2</v>
      </c>
      <c r="I4" s="349" t="n">
        <v>7305.2</v>
      </c>
      <c r="J4" s="349" t="n">
        <v>7305.2</v>
      </c>
      <c r="K4" s="349" t="n">
        <v>7305.2</v>
      </c>
      <c r="L4" s="349" t="n">
        <v>7305.2</v>
      </c>
      <c r="M4" s="349" t="n">
        <v>7305.2</v>
      </c>
      <c r="N4" s="349" t="n">
        <v>7305.2</v>
      </c>
      <c r="O4" s="350">
        <f>SUM(E4:N4)</f>
        <v/>
      </c>
    </row>
    <row r="5" ht="18" customFormat="1" customHeight="1" s="54">
      <c r="A5" s="48">
        <f>A4+1</f>
        <v/>
      </c>
      <c r="B5" s="280" t="inlineStr">
        <is>
          <t>Alcyr Spindola Filho</t>
        </is>
      </c>
      <c r="C5" s="257" t="n"/>
      <c r="D5" s="255" t="n"/>
      <c r="E5" s="349" t="n">
        <v>4377.69</v>
      </c>
      <c r="F5" s="349" t="n">
        <v>4377.69</v>
      </c>
      <c r="G5" s="349" t="n">
        <v>4377.69</v>
      </c>
      <c r="H5" s="349" t="n">
        <v>4377.69</v>
      </c>
      <c r="I5" s="349" t="n">
        <v>4377.69</v>
      </c>
      <c r="J5" s="349" t="n">
        <v>4377.69</v>
      </c>
      <c r="K5" s="349" t="n">
        <v>4377.69</v>
      </c>
      <c r="L5" s="349" t="n">
        <v>4377.69</v>
      </c>
      <c r="M5" s="349" t="n">
        <v>4377.69</v>
      </c>
      <c r="N5" s="349" t="n">
        <v>4377.69</v>
      </c>
      <c r="O5" s="350">
        <f>SUM(E5:N5)</f>
        <v/>
      </c>
    </row>
    <row r="6" ht="18" customFormat="1" customHeight="1" s="54">
      <c r="A6" s="48">
        <f>A5+1</f>
        <v/>
      </c>
      <c r="B6" s="280" t="inlineStr">
        <is>
          <t>Elvis Fagundes Lisboa Junior</t>
        </is>
      </c>
      <c r="C6" s="257" t="n"/>
      <c r="D6" s="255" t="n"/>
      <c r="E6" s="349" t="n">
        <v>4696.2</v>
      </c>
      <c r="F6" s="349" t="n">
        <v>4696.2</v>
      </c>
      <c r="G6" s="349" t="n">
        <v>4696.2</v>
      </c>
      <c r="H6" s="349" t="n">
        <v>4696.2</v>
      </c>
      <c r="I6" s="349" t="n">
        <v>4696.2</v>
      </c>
      <c r="J6" s="349" t="n">
        <v>4696.2</v>
      </c>
      <c r="K6" s="349" t="n">
        <v>4696.2</v>
      </c>
      <c r="L6" s="349" t="n">
        <v>4696.2</v>
      </c>
      <c r="M6" s="349" t="n">
        <v>4696.2</v>
      </c>
      <c r="N6" s="349" t="n">
        <v>4696.2</v>
      </c>
      <c r="O6" s="350">
        <f>SUM(E6:N6)</f>
        <v/>
      </c>
    </row>
    <row r="7" ht="18" customFormat="1" customHeight="1" s="54">
      <c r="A7" s="48">
        <f>A6+1</f>
        <v/>
      </c>
      <c r="B7" s="280" t="inlineStr">
        <is>
          <t>Emanuel Espíndola</t>
        </is>
      </c>
      <c r="C7" s="257" t="n"/>
      <c r="D7" s="255" t="n"/>
      <c r="E7" s="349">
        <f>12900.99+1548.12</f>
        <v/>
      </c>
      <c r="F7" s="349">
        <f>12900.99+1548.12</f>
        <v/>
      </c>
      <c r="G7" s="349" t="n"/>
      <c r="H7" s="349" t="n"/>
      <c r="I7" s="349" t="n"/>
      <c r="J7" s="349" t="n"/>
      <c r="K7" s="349" t="n"/>
      <c r="L7" s="349" t="n"/>
      <c r="M7" s="349" t="n"/>
      <c r="N7" s="349" t="n"/>
      <c r="O7" s="350">
        <f>SUM(E7:N7)</f>
        <v/>
      </c>
    </row>
    <row r="8" ht="18" customFormat="1" customHeight="1" s="54">
      <c r="A8" s="48">
        <f>A7+1</f>
        <v/>
      </c>
      <c r="B8" s="280" t="inlineStr">
        <is>
          <t>Kennildo Bastos Gonçalves</t>
        </is>
      </c>
      <c r="C8" s="257" t="n"/>
      <c r="D8" s="255" t="n"/>
      <c r="E8" s="349" t="n">
        <v>8348.799999999999</v>
      </c>
      <c r="F8" s="349" t="n">
        <v>8348.799999999999</v>
      </c>
      <c r="G8" s="349" t="n">
        <v>8348.799999999999</v>
      </c>
      <c r="H8" s="349" t="n">
        <v>8348.799999999999</v>
      </c>
      <c r="I8" s="349" t="n">
        <v>8348.799999999999</v>
      </c>
      <c r="J8" s="349" t="n">
        <v>8348.799999999999</v>
      </c>
      <c r="K8" s="349" t="n">
        <v>8348.799999999999</v>
      </c>
      <c r="L8" s="349" t="n">
        <v>8348.799999999999</v>
      </c>
      <c r="M8" s="349" t="n">
        <v>8348.799999999999</v>
      </c>
      <c r="N8" s="349" t="n">
        <v>8348.799999999999</v>
      </c>
      <c r="O8" s="350">
        <f>SUM(E8:N8)</f>
        <v/>
      </c>
    </row>
    <row r="9" ht="18" customFormat="1" customHeight="1" s="54">
      <c r="A9" s="48">
        <f>A8+1</f>
        <v/>
      </c>
      <c r="B9" s="280" t="inlineStr">
        <is>
          <t>Keven Dantas da Silva</t>
        </is>
      </c>
      <c r="C9" s="257" t="n"/>
      <c r="D9" s="255" t="n"/>
      <c r="E9" s="349" t="n">
        <v>3861.32</v>
      </c>
      <c r="F9" s="349" t="n">
        <v>3861.32</v>
      </c>
      <c r="G9" s="349" t="n">
        <v>3861.32</v>
      </c>
      <c r="H9" s="349" t="n">
        <v>3861.32</v>
      </c>
      <c r="I9" s="349" t="n">
        <v>3861.32</v>
      </c>
      <c r="J9" s="349" t="n">
        <v>3861.32</v>
      </c>
      <c r="K9" s="349" t="n">
        <v>3861.32</v>
      </c>
      <c r="L9" s="349" t="n">
        <v>3861.32</v>
      </c>
      <c r="M9" s="349" t="n">
        <v>3861.32</v>
      </c>
      <c r="N9" s="349" t="n">
        <v>3861.32</v>
      </c>
      <c r="O9" s="350">
        <f>SUM(E9:N9)</f>
        <v/>
      </c>
    </row>
    <row r="10" ht="18" customFormat="1" customHeight="1" s="54">
      <c r="A10" s="48">
        <f>A9+1</f>
        <v/>
      </c>
      <c r="B10" s="280" t="inlineStr">
        <is>
          <t>Pâmela Andressa Lunelli</t>
        </is>
      </c>
      <c r="C10" s="257" t="n"/>
      <c r="D10" s="255" t="n"/>
      <c r="E10" s="349" t="n">
        <v>6261.6</v>
      </c>
      <c r="F10" s="349" t="n">
        <v>6261.6</v>
      </c>
      <c r="G10" s="349" t="n">
        <v>6261.6</v>
      </c>
      <c r="H10" s="349" t="n">
        <v>6261.6</v>
      </c>
      <c r="I10" s="349" t="n">
        <v>6261.6</v>
      </c>
      <c r="J10" s="349" t="n">
        <v>6261.6</v>
      </c>
      <c r="K10" s="349" t="n">
        <v>6261.6</v>
      </c>
      <c r="L10" s="349" t="n">
        <v>6261.6</v>
      </c>
      <c r="M10" s="349" t="n">
        <v>6261.6</v>
      </c>
      <c r="N10" s="349" t="n">
        <v>6261.6</v>
      </c>
      <c r="O10" s="350">
        <f>SUM(E10:N10)</f>
        <v/>
      </c>
    </row>
    <row r="11" ht="18" customFormat="1" customHeight="1" s="54">
      <c r="A11" s="48">
        <f>A10+1</f>
        <v/>
      </c>
      <c r="B11" s="280" t="inlineStr">
        <is>
          <t>Encargos s/pessoal contratado</t>
        </is>
      </c>
      <c r="C11" s="257" t="n"/>
      <c r="D11" s="255" t="n"/>
      <c r="E11" s="349">
        <f>SUM(E4:E10)*0.85</f>
        <v/>
      </c>
      <c r="F11" s="349">
        <f>SUM(F4:F10)*0.85</f>
        <v/>
      </c>
      <c r="G11" s="349">
        <f>SUM(G4:G10)*0.85</f>
        <v/>
      </c>
      <c r="H11" s="349">
        <f>SUM(H4:H10)*0.85</f>
        <v/>
      </c>
      <c r="I11" s="349">
        <f>SUM(I4:I10)*0.85</f>
        <v/>
      </c>
      <c r="J11" s="349">
        <f>SUM(J4:J10)*0.85</f>
        <v/>
      </c>
      <c r="K11" s="349">
        <f>SUM(K4:K10)*0.85</f>
        <v/>
      </c>
      <c r="L11" s="349">
        <f>SUM(L4:L10)*0.85</f>
        <v/>
      </c>
      <c r="M11" s="349">
        <f>SUM(M4:M10)*0.85</f>
        <v/>
      </c>
      <c r="N11" s="349">
        <f>SUM(N4:N10)*0.85</f>
        <v/>
      </c>
      <c r="O11" s="350">
        <f>SUM(E11:N11)</f>
        <v/>
      </c>
    </row>
    <row r="12" ht="18" customFormat="1" customHeight="1" s="54">
      <c r="A12" s="48">
        <f>A11+1</f>
        <v/>
      </c>
      <c r="B12" s="280" t="inlineStr">
        <is>
          <t>Alexis Camilo Pantoja Pantoja</t>
        </is>
      </c>
      <c r="C12" s="257" t="n"/>
      <c r="D12" s="255" t="n"/>
      <c r="E12" s="349" t="n">
        <v>3200</v>
      </c>
      <c r="F12" s="349" t="n">
        <v>3200</v>
      </c>
      <c r="G12" s="349" t="n">
        <v>3200</v>
      </c>
      <c r="H12" s="349" t="n">
        <v>3200</v>
      </c>
      <c r="I12" s="349" t="n">
        <v>3200</v>
      </c>
      <c r="J12" s="349" t="n">
        <v>3200</v>
      </c>
      <c r="K12" s="349" t="n">
        <v>3200</v>
      </c>
      <c r="L12" s="349" t="n">
        <v>3200</v>
      </c>
      <c r="M12" s="349" t="n">
        <v>3200</v>
      </c>
      <c r="N12" s="349" t="n">
        <v>3200</v>
      </c>
      <c r="O12" s="350">
        <f>SUM(E12:N12)</f>
        <v/>
      </c>
    </row>
    <row r="13" ht="18" customFormat="1" customHeight="1" s="54">
      <c r="A13" s="48">
        <f>A12+1</f>
        <v/>
      </c>
      <c r="B13" s="280" t="inlineStr">
        <is>
          <t>Amably Cristina Platen</t>
        </is>
      </c>
      <c r="C13" s="257" t="n"/>
      <c r="D13" s="255" t="n"/>
      <c r="E13" s="349" t="n">
        <v>4850</v>
      </c>
      <c r="F13" s="349" t="n">
        <v>4850</v>
      </c>
      <c r="G13" s="349" t="n">
        <v>4850</v>
      </c>
      <c r="H13" s="349" t="n"/>
      <c r="I13" s="349" t="n"/>
      <c r="J13" s="349" t="n"/>
      <c r="K13" s="349" t="n"/>
      <c r="L13" s="349" t="n"/>
      <c r="M13" s="349" t="n"/>
      <c r="N13" s="349" t="n"/>
      <c r="O13" s="350">
        <f>SUM(E13:N13)</f>
        <v/>
      </c>
    </row>
    <row r="14" ht="18" customFormat="1" customHeight="1" s="54">
      <c r="A14" s="48">
        <f>A13+1</f>
        <v/>
      </c>
      <c r="B14" s="280" t="inlineStr">
        <is>
          <t>Angelo De Bortoli Sarto</t>
        </is>
      </c>
      <c r="C14" s="257" t="n"/>
      <c r="D14" s="255" t="n"/>
      <c r="E14" s="349" t="n">
        <v>1050</v>
      </c>
      <c r="F14" s="349" t="n">
        <v>1050</v>
      </c>
      <c r="G14" s="349" t="n">
        <v>1050</v>
      </c>
      <c r="H14" s="349" t="n">
        <v>1050</v>
      </c>
      <c r="I14" s="349" t="n">
        <v>1050</v>
      </c>
      <c r="J14" s="349" t="n">
        <v>1050</v>
      </c>
      <c r="K14" s="349" t="n">
        <v>1050</v>
      </c>
      <c r="L14" s="349" t="n">
        <v>1050</v>
      </c>
      <c r="M14" s="349" t="n"/>
      <c r="N14" s="349" t="n"/>
      <c r="O14" s="350">
        <f>SUM(E14:N14)</f>
        <v/>
      </c>
    </row>
    <row r="15" ht="18" customFormat="1" customHeight="1" s="54">
      <c r="A15" s="48">
        <f>A14+1</f>
        <v/>
      </c>
      <c r="B15" s="280" t="inlineStr">
        <is>
          <t>Anita Bohme Behar</t>
        </is>
      </c>
      <c r="C15" s="257" t="n"/>
      <c r="D15" s="255" t="n"/>
      <c r="E15" s="349" t="n">
        <v>1050</v>
      </c>
      <c r="F15" s="349" t="n">
        <v>1050</v>
      </c>
      <c r="G15" s="349" t="n">
        <v>1050</v>
      </c>
      <c r="H15" s="349" t="n">
        <v>1050</v>
      </c>
      <c r="I15" s="349" t="n">
        <v>1050</v>
      </c>
      <c r="J15" s="349" t="n">
        <v>1050</v>
      </c>
      <c r="K15" s="349" t="n">
        <v>1050</v>
      </c>
      <c r="L15" s="349" t="n">
        <v>1050</v>
      </c>
      <c r="M15" s="349" t="n"/>
      <c r="N15" s="349" t="n"/>
      <c r="O15" s="350">
        <f>SUM(E15:N15)</f>
        <v/>
      </c>
    </row>
    <row r="16" ht="18" customFormat="1" customHeight="1" s="54">
      <c r="A16" s="48">
        <f>A15+1</f>
        <v/>
      </c>
      <c r="B16" s="280" t="inlineStr">
        <is>
          <t>Catharina Vogel de Carvalho</t>
        </is>
      </c>
      <c r="C16" s="257" t="n"/>
      <c r="D16" s="255" t="n"/>
      <c r="E16" s="349" t="n">
        <v>1050</v>
      </c>
      <c r="F16" s="349" t="n">
        <v>1050</v>
      </c>
      <c r="G16" s="349" t="n">
        <v>1050</v>
      </c>
      <c r="H16" s="349" t="n"/>
      <c r="I16" s="349" t="n"/>
      <c r="J16" s="349" t="n"/>
      <c r="K16" s="349" t="n"/>
      <c r="L16" s="349" t="n"/>
      <c r="M16" s="349" t="n"/>
      <c r="N16" s="349" t="n"/>
      <c r="O16" s="350">
        <f>SUM(E16:N16)</f>
        <v/>
      </c>
    </row>
    <row r="17" ht="18" customFormat="1" customHeight="1" s="54">
      <c r="A17" s="48">
        <f>A16+1</f>
        <v/>
      </c>
      <c r="B17" s="280" t="inlineStr">
        <is>
          <t>Djonathan Willian Schafer</t>
        </is>
      </c>
      <c r="C17" s="257" t="n"/>
      <c r="D17" s="255" t="n"/>
      <c r="E17" s="349" t="n">
        <v>1050</v>
      </c>
      <c r="F17" s="349" t="n">
        <v>1050</v>
      </c>
      <c r="G17" s="349" t="n">
        <v>1050</v>
      </c>
      <c r="H17" s="349" t="n">
        <v>1050</v>
      </c>
      <c r="I17" s="349" t="n">
        <v>1050</v>
      </c>
      <c r="J17" s="349" t="n">
        <v>1050</v>
      </c>
      <c r="K17" s="349" t="n">
        <v>1050</v>
      </c>
      <c r="L17" s="349" t="n">
        <v>1050</v>
      </c>
      <c r="M17" s="349" t="n"/>
      <c r="N17" s="349" t="n"/>
      <c r="O17" s="350">
        <f>SUM(E17:N17)</f>
        <v/>
      </c>
    </row>
    <row r="18" ht="18" customFormat="1" customHeight="1" s="54">
      <c r="A18" s="48">
        <f>A17+1</f>
        <v/>
      </c>
      <c r="B18" s="280" t="inlineStr">
        <is>
          <t>Douglas Cheffer</t>
        </is>
      </c>
      <c r="C18" s="257" t="n"/>
      <c r="D18" s="255" t="n"/>
      <c r="E18" s="349" t="n">
        <v>1050</v>
      </c>
      <c r="F18" s="349" t="n">
        <v>1050</v>
      </c>
      <c r="G18" s="349" t="n">
        <v>1050</v>
      </c>
      <c r="H18" s="349" t="n"/>
      <c r="I18" s="349" t="n"/>
      <c r="J18" s="349" t="n"/>
      <c r="K18" s="349" t="n"/>
      <c r="L18" s="349" t="n"/>
      <c r="M18" s="349" t="n"/>
      <c r="N18" s="349" t="n"/>
      <c r="O18" s="350">
        <f>SUM(E18:N18)</f>
        <v/>
      </c>
    </row>
    <row r="19" ht="18" customFormat="1" customHeight="1" s="54">
      <c r="A19" s="48">
        <f>A18+1</f>
        <v/>
      </c>
      <c r="B19" s="280" t="inlineStr">
        <is>
          <t xml:space="preserve">Felipe Tagliari de Oliveira </t>
        </is>
      </c>
      <c r="C19" s="257" t="n"/>
      <c r="D19" s="255" t="n"/>
      <c r="E19" s="349" t="n">
        <v>1050</v>
      </c>
      <c r="F19" s="349" t="n">
        <v>1050</v>
      </c>
      <c r="G19" s="349" t="n">
        <v>1050</v>
      </c>
      <c r="H19" s="349" t="n">
        <v>1050</v>
      </c>
      <c r="I19" s="349" t="n">
        <v>1050</v>
      </c>
      <c r="J19" s="349" t="n">
        <v>1050</v>
      </c>
      <c r="K19" s="349" t="n">
        <v>1050</v>
      </c>
      <c r="L19" s="349" t="n">
        <v>1050</v>
      </c>
      <c r="M19" s="349" t="n"/>
      <c r="N19" s="349" t="n"/>
      <c r="O19" s="350">
        <f>SUM(E19:N19)</f>
        <v/>
      </c>
    </row>
    <row r="20" ht="18" customFormat="1" customHeight="1" s="54">
      <c r="A20" s="48">
        <f>A19+1</f>
        <v/>
      </c>
      <c r="B20" s="280" t="inlineStr">
        <is>
          <t>Gabriel Alves Abade</t>
        </is>
      </c>
      <c r="C20" s="257" t="n"/>
      <c r="D20" s="255" t="n"/>
      <c r="E20" s="349" t="n">
        <v>3200</v>
      </c>
      <c r="F20" s="349" t="n">
        <v>3200</v>
      </c>
      <c r="G20" s="349" t="n">
        <v>3200</v>
      </c>
      <c r="H20" s="349" t="n"/>
      <c r="I20" s="349" t="n"/>
      <c r="J20" s="349" t="n"/>
      <c r="K20" s="349" t="n"/>
      <c r="L20" s="349" t="n"/>
      <c r="M20" s="349" t="n"/>
      <c r="N20" s="349" t="n"/>
      <c r="O20" s="350">
        <f>SUM(E20:N20)</f>
        <v/>
      </c>
    </row>
    <row r="21" ht="18" customFormat="1" customHeight="1" s="54">
      <c r="A21" s="48">
        <f>A20+1</f>
        <v/>
      </c>
      <c r="B21" s="280" t="inlineStr">
        <is>
          <t>Heloisa Silveira Morimoto</t>
        </is>
      </c>
      <c r="C21" s="257" t="n"/>
      <c r="D21" s="255" t="n"/>
      <c r="E21" s="349" t="n">
        <v>1050</v>
      </c>
      <c r="F21" s="349" t="n">
        <v>1050</v>
      </c>
      <c r="G21" s="349" t="n">
        <v>1050</v>
      </c>
      <c r="H21" s="349" t="n"/>
      <c r="I21" s="349" t="n"/>
      <c r="J21" s="349" t="n"/>
      <c r="K21" s="349" t="n"/>
      <c r="L21" s="349" t="n"/>
      <c r="M21" s="349" t="n"/>
      <c r="N21" s="349" t="n"/>
      <c r="O21" s="350">
        <f>SUM(E21:N21)</f>
        <v/>
      </c>
    </row>
    <row r="22" ht="18" customFormat="1" customHeight="1" s="54">
      <c r="A22" s="48">
        <f>A21+1</f>
        <v/>
      </c>
      <c r="B22" s="280" t="inlineStr">
        <is>
          <t>João Pedro Darabas Cardoso</t>
        </is>
      </c>
      <c r="C22" s="257" t="n"/>
      <c r="D22" s="255" t="n"/>
      <c r="E22" s="349" t="n">
        <v>1050</v>
      </c>
      <c r="F22" s="349" t="n">
        <v>1050</v>
      </c>
      <c r="G22" s="349" t="n">
        <v>1050</v>
      </c>
      <c r="H22" s="349" t="n"/>
      <c r="I22" s="349" t="n"/>
      <c r="J22" s="349" t="n"/>
      <c r="K22" s="349" t="n"/>
      <c r="L22" s="349" t="n"/>
      <c r="M22" s="349" t="n"/>
      <c r="N22" s="349" t="n"/>
      <c r="O22" s="350">
        <f>SUM(E22:N22)</f>
        <v/>
      </c>
    </row>
    <row r="23" ht="18" customFormat="1" customHeight="1" s="54">
      <c r="A23" s="48">
        <f>A22+1</f>
        <v/>
      </c>
      <c r="B23" s="280" t="inlineStr">
        <is>
          <t>Luis Fernando Heisler Damazio</t>
        </is>
      </c>
      <c r="C23" s="257" t="n"/>
      <c r="D23" s="255" t="n"/>
      <c r="E23" s="349" t="n">
        <v>1050</v>
      </c>
      <c r="F23" s="349" t="n">
        <v>1050</v>
      </c>
      <c r="G23" s="349" t="n">
        <v>1050</v>
      </c>
      <c r="H23" s="349" t="n">
        <v>1050</v>
      </c>
      <c r="I23" s="349" t="n">
        <v>1050</v>
      </c>
      <c r="J23" s="349" t="n">
        <v>1050</v>
      </c>
      <c r="K23" s="349" t="n"/>
      <c r="L23" s="349" t="n"/>
      <c r="M23" s="349" t="n"/>
      <c r="N23" s="349" t="n"/>
      <c r="O23" s="350">
        <f>SUM(E23:N23)</f>
        <v/>
      </c>
    </row>
    <row r="24" ht="18" customFormat="1" customHeight="1" s="54">
      <c r="A24" s="48">
        <f>A23+1</f>
        <v/>
      </c>
      <c r="B24" s="280" t="inlineStr">
        <is>
          <t>Mariana Souto dos Anjos</t>
        </is>
      </c>
      <c r="C24" s="257" t="n"/>
      <c r="D24" s="255" t="n"/>
      <c r="E24" s="349" t="n">
        <v>2200</v>
      </c>
      <c r="F24" s="349" t="n">
        <v>2200</v>
      </c>
      <c r="G24" s="349" t="n">
        <v>2200</v>
      </c>
      <c r="H24" s="349" t="n">
        <v>2200</v>
      </c>
      <c r="I24" s="349" t="n">
        <v>2200</v>
      </c>
      <c r="J24" s="349" t="n">
        <v>2200</v>
      </c>
      <c r="K24" s="349" t="n">
        <v>2200</v>
      </c>
      <c r="L24" s="349" t="n">
        <v>2200</v>
      </c>
      <c r="M24" s="349" t="n">
        <v>2200</v>
      </c>
      <c r="N24" s="349" t="n">
        <v>2200</v>
      </c>
      <c r="O24" s="350">
        <f>SUM(E24:N24)</f>
        <v/>
      </c>
    </row>
    <row r="25" ht="18" customFormat="1" customHeight="1" s="54">
      <c r="A25" s="48">
        <f>A24+1</f>
        <v/>
      </c>
      <c r="B25" s="280" t="inlineStr">
        <is>
          <t>Marina Rodrigues Pavanati</t>
        </is>
      </c>
      <c r="C25" s="257" t="n"/>
      <c r="D25" s="255" t="n"/>
      <c r="E25" s="349" t="n">
        <v>1050</v>
      </c>
      <c r="F25" s="349" t="n">
        <v>1050</v>
      </c>
      <c r="G25" s="349" t="n">
        <v>1050</v>
      </c>
      <c r="H25" s="349" t="n">
        <v>1050</v>
      </c>
      <c r="I25" s="349" t="n">
        <v>1050</v>
      </c>
      <c r="J25" s="349" t="n">
        <v>1050</v>
      </c>
      <c r="K25" s="349" t="n">
        <v>1050</v>
      </c>
      <c r="L25" s="349" t="n">
        <v>1050</v>
      </c>
      <c r="M25" s="349" t="n"/>
      <c r="N25" s="349" t="n"/>
      <c r="O25" s="350">
        <f>SUM(E25:N25)</f>
        <v/>
      </c>
    </row>
    <row r="26" ht="18" customFormat="1" customHeight="1" s="54">
      <c r="A26" s="48">
        <f>A25+1</f>
        <v/>
      </c>
      <c r="B26" s="280" t="inlineStr">
        <is>
          <t>Roberto Lima Guedes</t>
        </is>
      </c>
      <c r="C26" s="257" t="n"/>
      <c r="D26" s="255" t="n"/>
      <c r="E26" s="349" t="n">
        <v>3200</v>
      </c>
      <c r="F26" s="349" t="n">
        <v>3200</v>
      </c>
      <c r="G26" s="349" t="n">
        <v>3200</v>
      </c>
      <c r="H26" s="349" t="n"/>
      <c r="I26" s="349" t="n"/>
      <c r="J26" s="349" t="n"/>
      <c r="K26" s="349" t="n"/>
      <c r="L26" s="349" t="n"/>
      <c r="M26" s="349" t="n"/>
      <c r="N26" s="349" t="n"/>
      <c r="O26" s="350">
        <f>SUM(E26:N26)</f>
        <v/>
      </c>
    </row>
    <row r="27" ht="18" customFormat="1" customHeight="1" s="54">
      <c r="A27" s="48">
        <f>A26+1</f>
        <v/>
      </c>
      <c r="B27" s="280" t="inlineStr">
        <is>
          <t>Rufino Sérgio Panzo</t>
        </is>
      </c>
      <c r="C27" s="257" t="n"/>
      <c r="D27" s="255" t="n"/>
      <c r="E27" s="349" t="n">
        <v>1050</v>
      </c>
      <c r="F27" s="349" t="n">
        <v>1050</v>
      </c>
      <c r="G27" s="349" t="n">
        <v>1050</v>
      </c>
      <c r="H27" s="349" t="n">
        <v>1050</v>
      </c>
      <c r="I27" s="349" t="n">
        <v>1050</v>
      </c>
      <c r="J27" s="349" t="n">
        <v>1050</v>
      </c>
      <c r="K27" s="349" t="n">
        <v>1050</v>
      </c>
      <c r="L27" s="349" t="n"/>
      <c r="M27" s="349" t="n"/>
      <c r="N27" s="349" t="n"/>
      <c r="O27" s="350">
        <f>SUM(E27:N27)</f>
        <v/>
      </c>
    </row>
    <row r="28" ht="18" customFormat="1" customHeight="1" s="54">
      <c r="A28" s="48">
        <f>A27+1</f>
        <v/>
      </c>
      <c r="B28" s="280" t="inlineStr">
        <is>
          <t>Sander Alex Pereira</t>
        </is>
      </c>
      <c r="C28" s="257" t="n"/>
      <c r="D28" s="255" t="n"/>
      <c r="E28" s="349" t="n">
        <v>1050</v>
      </c>
      <c r="F28" s="349" t="n">
        <v>1050</v>
      </c>
      <c r="G28" s="349" t="n">
        <v>1050</v>
      </c>
      <c r="H28" s="349" t="n">
        <v>1050</v>
      </c>
      <c r="I28" s="349" t="n">
        <v>1050</v>
      </c>
      <c r="J28" s="349" t="n">
        <v>1050</v>
      </c>
      <c r="K28" s="349" t="n"/>
      <c r="L28" s="349" t="n"/>
      <c r="M28" s="349" t="n"/>
      <c r="N28" s="349" t="n"/>
      <c r="O28" s="350">
        <f>SUM(E28:N28)</f>
        <v/>
      </c>
    </row>
    <row r="29" ht="18" customFormat="1" customHeight="1" s="54">
      <c r="A29" s="48">
        <f>A28+1</f>
        <v/>
      </c>
      <c r="B29" s="280" t="inlineStr">
        <is>
          <t>Simone Alleotti Tesser</t>
        </is>
      </c>
      <c r="C29" s="257" t="n"/>
      <c r="D29" s="255" t="n"/>
      <c r="E29" s="349" t="n">
        <v>1050</v>
      </c>
      <c r="F29" s="349" t="n">
        <v>1050</v>
      </c>
      <c r="G29" s="349" t="n">
        <v>1050</v>
      </c>
      <c r="H29" s="349" t="n">
        <v>1050</v>
      </c>
      <c r="I29" s="349" t="n">
        <v>1050</v>
      </c>
      <c r="J29" s="349" t="n">
        <v>1050</v>
      </c>
      <c r="K29" s="349" t="n">
        <v>1050</v>
      </c>
      <c r="L29" s="349" t="n">
        <v>1050</v>
      </c>
      <c r="M29" s="349" t="n">
        <v>1050</v>
      </c>
      <c r="N29" s="349" t="n">
        <v>1050</v>
      </c>
      <c r="O29" s="350">
        <f>SUM(E29:N29)</f>
        <v/>
      </c>
    </row>
    <row r="30" ht="18" customFormat="1" customHeight="1" s="54">
      <c r="A30" s="48">
        <f>A29+1</f>
        <v/>
      </c>
      <c r="B30" s="280" t="inlineStr">
        <is>
          <t xml:space="preserve">Sofia Cunha Dalpiaz </t>
        </is>
      </c>
      <c r="C30" s="257" t="n"/>
      <c r="D30" s="255" t="n"/>
      <c r="E30" s="349" t="n">
        <v>1050</v>
      </c>
      <c r="F30" s="349" t="n">
        <v>1050</v>
      </c>
      <c r="G30" s="349" t="n">
        <v>1050</v>
      </c>
      <c r="H30" s="349" t="n"/>
      <c r="I30" s="349" t="n"/>
      <c r="J30" s="349" t="n"/>
      <c r="K30" s="349" t="n"/>
      <c r="L30" s="349" t="n"/>
      <c r="M30" s="349" t="n"/>
      <c r="N30" s="349" t="n"/>
      <c r="O30" s="350">
        <f>SUM(E30:N30)</f>
        <v/>
      </c>
    </row>
    <row r="31" ht="18" customFormat="1" customHeight="1" s="54">
      <c r="A31" s="48">
        <f>A30+1</f>
        <v/>
      </c>
      <c r="B31" s="254" t="inlineStr">
        <is>
          <t>Serviços de Terceiros</t>
        </is>
      </c>
      <c r="C31" s="257" t="n"/>
      <c r="D31" s="255" t="n"/>
      <c r="E31" s="349" t="n">
        <v>2500</v>
      </c>
      <c r="F31" s="349" t="n">
        <v>2500</v>
      </c>
      <c r="G31" s="349" t="n">
        <v>2500</v>
      </c>
      <c r="H31" s="349" t="n">
        <v>2500</v>
      </c>
      <c r="I31" s="349" t="n">
        <v>2500</v>
      </c>
      <c r="J31" s="349" t="n">
        <v>2500</v>
      </c>
      <c r="K31" s="349" t="n">
        <v>2500</v>
      </c>
      <c r="L31" s="349" t="n">
        <v>2500</v>
      </c>
      <c r="M31" s="349" t="n">
        <v>2500</v>
      </c>
      <c r="N31" s="349" t="n"/>
      <c r="O31" s="350">
        <f>SUM(E31:N31)</f>
        <v/>
      </c>
    </row>
    <row r="32" ht="18" customFormat="1" customHeight="1" s="54">
      <c r="A32" s="48">
        <f>A31+1</f>
        <v/>
      </c>
      <c r="B32" s="254" t="inlineStr">
        <is>
          <t>Passagens</t>
        </is>
      </c>
      <c r="C32" s="257" t="n"/>
      <c r="D32" s="255" t="n"/>
      <c r="E32" s="349" t="n">
        <v>6500</v>
      </c>
      <c r="F32" s="349" t="n">
        <v>6500</v>
      </c>
      <c r="G32" s="349" t="n">
        <v>6500</v>
      </c>
      <c r="H32" s="349" t="n">
        <v>6500</v>
      </c>
      <c r="I32" s="349" t="n">
        <v>6500</v>
      </c>
      <c r="J32" s="349" t="n">
        <v>6500</v>
      </c>
      <c r="K32" s="349" t="n">
        <v>6500</v>
      </c>
      <c r="L32" s="349" t="n">
        <v>6500</v>
      </c>
      <c r="M32" s="349" t="n">
        <v>6500</v>
      </c>
      <c r="N32" s="349" t="n"/>
      <c r="O32" s="350">
        <f>SUM(E32:N32)</f>
        <v/>
      </c>
    </row>
    <row r="33" ht="18" customFormat="1" customHeight="1" s="54">
      <c r="A33" s="48">
        <f>A32+1</f>
        <v/>
      </c>
      <c r="B33" s="86" t="inlineStr">
        <is>
          <t>Diárias</t>
        </is>
      </c>
      <c r="C33" s="87" t="n"/>
      <c r="D33" s="88" t="n"/>
      <c r="E33" s="349" t="n">
        <v>3500</v>
      </c>
      <c r="F33" s="349" t="n">
        <v>3500</v>
      </c>
      <c r="G33" s="349" t="n">
        <v>3500</v>
      </c>
      <c r="H33" s="349" t="n">
        <v>3500</v>
      </c>
      <c r="I33" s="349" t="n">
        <v>3500</v>
      </c>
      <c r="J33" s="349" t="n">
        <v>3500</v>
      </c>
      <c r="K33" s="349" t="n">
        <v>3500</v>
      </c>
      <c r="L33" s="349" t="n">
        <v>3500</v>
      </c>
      <c r="M33" s="349" t="n">
        <v>3500</v>
      </c>
      <c r="N33" s="349" t="n"/>
      <c r="O33" s="350">
        <f>SUM(E33:N33)</f>
        <v/>
      </c>
    </row>
    <row r="34" ht="18" customFormat="1" customHeight="1" s="54">
      <c r="A34" s="48">
        <f>A33+1</f>
        <v/>
      </c>
      <c r="B34" s="280" t="inlineStr">
        <is>
          <t>Materrial de Consumo</t>
        </is>
      </c>
      <c r="C34" s="257" t="n"/>
      <c r="D34" s="255" t="n"/>
      <c r="E34" s="349" t="n">
        <v>1000</v>
      </c>
      <c r="F34" s="349" t="n">
        <v>1000</v>
      </c>
      <c r="G34" s="349" t="n">
        <v>1000</v>
      </c>
      <c r="H34" s="349" t="n">
        <v>1000</v>
      </c>
      <c r="I34" s="349" t="n">
        <v>1000</v>
      </c>
      <c r="J34" s="349" t="n">
        <v>1000</v>
      </c>
      <c r="K34" s="349" t="n">
        <v>1000</v>
      </c>
      <c r="L34" s="349" t="n">
        <v>1000</v>
      </c>
      <c r="M34" s="349" t="n">
        <v>1000</v>
      </c>
      <c r="N34" s="349" t="n">
        <v>1000</v>
      </c>
      <c r="O34" s="350">
        <f>SUM(E34:N34)</f>
        <v/>
      </c>
    </row>
    <row r="35" ht="18" customHeight="1" s="276">
      <c r="A35" s="282" t="n"/>
      <c r="B35" s="257" t="n"/>
      <c r="C35" s="257" t="n"/>
      <c r="D35" s="255" t="n"/>
      <c r="E35" s="353">
        <f>SUM(E4:E34)</f>
        <v/>
      </c>
      <c r="F35" s="353">
        <f>SUM(F4:F34)</f>
        <v/>
      </c>
      <c r="G35" s="353">
        <f>SUM(G4:G34)</f>
        <v/>
      </c>
      <c r="H35" s="353">
        <f>SUM(H4:H34)</f>
        <v/>
      </c>
      <c r="I35" s="353">
        <f>SUM(I4:I34)</f>
        <v/>
      </c>
      <c r="J35" s="353">
        <f>SUM(J4:J34)</f>
        <v/>
      </c>
      <c r="K35" s="353">
        <f>SUM(K4:K34)</f>
        <v/>
      </c>
      <c r="L35" s="353">
        <f>SUM(L4:L34)</f>
        <v/>
      </c>
      <c r="M35" s="353">
        <f>SUM(M4:M34)</f>
        <v/>
      </c>
      <c r="N35" s="353">
        <f>SUM(N4:N34)</f>
        <v/>
      </c>
      <c r="O35" s="353">
        <f>SUM(E35:N35)</f>
        <v/>
      </c>
    </row>
    <row r="36" ht="18" customHeight="1" s="276">
      <c r="A36" s="55">
        <f>A34+1</f>
        <v/>
      </c>
      <c r="B36" s="280" t="inlineStr">
        <is>
          <t>Fundação de Apoio</t>
        </is>
      </c>
      <c r="C36" s="255" t="n"/>
      <c r="D36" s="56" t="n">
        <v>0.0825</v>
      </c>
      <c r="E36" s="351">
        <f>E2*$D$36</f>
        <v/>
      </c>
      <c r="F36" s="351">
        <f>F2*$D$36</f>
        <v/>
      </c>
      <c r="G36" s="351">
        <f>G2*$D$36</f>
        <v/>
      </c>
      <c r="H36" s="351">
        <f>H2*$D$36</f>
        <v/>
      </c>
      <c r="I36" s="351">
        <f>I2*$D$36</f>
        <v/>
      </c>
      <c r="J36" s="351">
        <f>J2*$D$36</f>
        <v/>
      </c>
      <c r="K36" s="351">
        <f>K2*$D$36</f>
        <v/>
      </c>
      <c r="L36" s="351">
        <f>L2*$D$36</f>
        <v/>
      </c>
      <c r="M36" s="351">
        <f>M2*$D$36</f>
        <v/>
      </c>
      <c r="N36" s="351">
        <f>N2*$D$36</f>
        <v/>
      </c>
      <c r="O36" s="354">
        <f>SUM(E36:N36)</f>
        <v/>
      </c>
    </row>
    <row r="37" ht="18" customHeight="1" s="276">
      <c r="A37" s="55">
        <f>A36+1</f>
        <v/>
      </c>
      <c r="B37" s="280" t="inlineStr">
        <is>
          <t>Universidade Federal</t>
        </is>
      </c>
      <c r="C37" s="255" t="n"/>
      <c r="D37" s="56" t="n">
        <v>0.07000000000000001</v>
      </c>
      <c r="E37" s="351">
        <f>E2*$D$37</f>
        <v/>
      </c>
      <c r="F37" s="351">
        <f>F2*$D$37</f>
        <v/>
      </c>
      <c r="G37" s="351">
        <f>G2*$D$37</f>
        <v/>
      </c>
      <c r="H37" s="351">
        <f>H2*$D$37</f>
        <v/>
      </c>
      <c r="I37" s="351">
        <f>I2*$D$37</f>
        <v/>
      </c>
      <c r="J37" s="351">
        <f>J2*$D$37</f>
        <v/>
      </c>
      <c r="K37" s="351">
        <f>K2*$D$37</f>
        <v/>
      </c>
      <c r="L37" s="351">
        <f>L2*$D$37</f>
        <v/>
      </c>
      <c r="M37" s="351">
        <f>M2*$D$37</f>
        <v/>
      </c>
      <c r="N37" s="351">
        <f>N2*$D$37</f>
        <v/>
      </c>
      <c r="O37" s="354">
        <f>SUM(E37:N37)</f>
        <v/>
      </c>
    </row>
    <row r="38" ht="18" customHeight="1" s="276">
      <c r="A38" s="282" t="inlineStr">
        <is>
          <t>subtotal2</t>
        </is>
      </c>
      <c r="B38" s="257" t="n"/>
      <c r="C38" s="257" t="n"/>
      <c r="D38" s="255" t="n"/>
      <c r="E38" s="353">
        <f>SUM(E36:E37)</f>
        <v/>
      </c>
      <c r="F38" s="353">
        <f>SUM(F36:F37)</f>
        <v/>
      </c>
      <c r="G38" s="353">
        <f>SUM(G36:G37)</f>
        <v/>
      </c>
      <c r="H38" s="353">
        <f>SUM(H36:H37)</f>
        <v/>
      </c>
      <c r="I38" s="353">
        <f>SUM(I36:I37)</f>
        <v/>
      </c>
      <c r="J38" s="353">
        <f>SUM(J36:J37)</f>
        <v/>
      </c>
      <c r="K38" s="353">
        <f>SUM(K36:K37)</f>
        <v/>
      </c>
      <c r="L38" s="353">
        <f>SUM(L36:L37)</f>
        <v/>
      </c>
      <c r="M38" s="353">
        <f>SUM(M36:M37)</f>
        <v/>
      </c>
      <c r="N38" s="353">
        <f>SUM(N36:N37)</f>
        <v/>
      </c>
      <c r="O38" s="353">
        <f>SUM(O36:O37)</f>
        <v/>
      </c>
    </row>
    <row r="39" ht="18" customHeight="1" s="276">
      <c r="A39" s="285" t="inlineStr">
        <is>
          <t>Total Despesas</t>
        </is>
      </c>
      <c r="B39" s="257" t="n"/>
      <c r="C39" s="257" t="n"/>
      <c r="D39" s="255" t="n"/>
      <c r="E39" s="355">
        <f>E38+E35</f>
        <v/>
      </c>
      <c r="F39" s="355">
        <f>F38+F35</f>
        <v/>
      </c>
      <c r="G39" s="355">
        <f>G38+G35</f>
        <v/>
      </c>
      <c r="H39" s="355">
        <f>H38+H35</f>
        <v/>
      </c>
      <c r="I39" s="355">
        <f>I38+I35</f>
        <v/>
      </c>
      <c r="J39" s="355">
        <f>J38+J35</f>
        <v/>
      </c>
      <c r="K39" s="355">
        <f>K38+K35</f>
        <v/>
      </c>
      <c r="L39" s="355">
        <f>L38+L35</f>
        <v/>
      </c>
      <c r="M39" s="355">
        <f>M38+M35</f>
        <v/>
      </c>
      <c r="N39" s="355">
        <f>N38+N35</f>
        <v/>
      </c>
      <c r="O39" s="355">
        <f>O38+O35</f>
        <v/>
      </c>
    </row>
    <row r="40" ht="18" customHeight="1" s="276">
      <c r="A40" s="356" t="inlineStr">
        <is>
          <t>Saldos</t>
        </is>
      </c>
      <c r="B40" s="257" t="n"/>
      <c r="C40" s="255" t="n"/>
      <c r="D40" s="57">
        <f>H45</f>
        <v/>
      </c>
      <c r="E40" s="57">
        <f>D40+E2-E39</f>
        <v/>
      </c>
      <c r="F40" s="57">
        <f>E40+F2-F39</f>
        <v/>
      </c>
      <c r="G40" s="57">
        <f>F40+G2-G39</f>
        <v/>
      </c>
      <c r="H40" s="57">
        <f>G40+H2-H39</f>
        <v/>
      </c>
      <c r="I40" s="57">
        <f>H40+I2-I39</f>
        <v/>
      </c>
      <c r="J40" s="57">
        <f>I40+J2-J39</f>
        <v/>
      </c>
      <c r="K40" s="57">
        <f>J40+K2-K39</f>
        <v/>
      </c>
      <c r="L40" s="57">
        <f>K40+L2-L39</f>
        <v/>
      </c>
      <c r="M40" s="57">
        <f>L40+M2-M39</f>
        <v/>
      </c>
      <c r="N40" s="57">
        <f>M40+N2-N39</f>
        <v/>
      </c>
      <c r="O40" s="58">
        <f>D40+O2-D2-O39</f>
        <v/>
      </c>
    </row>
    <row r="41" ht="13.35" customHeight="1" s="276">
      <c r="B41" s="60" t="n"/>
      <c r="C41" s="357" t="n"/>
      <c r="D41" s="357" t="n"/>
      <c r="E41" s="368" t="n"/>
      <c r="F41" s="368" t="n"/>
      <c r="G41" s="368" t="n"/>
      <c r="H41" s="368" t="n"/>
      <c r="I41" s="368" t="n"/>
      <c r="J41" s="368" t="n"/>
      <c r="K41" s="368" t="n"/>
      <c r="L41" s="368" t="n"/>
      <c r="M41" s="368" t="n"/>
      <c r="N41" s="368" t="n"/>
      <c r="O41" s="368" t="n"/>
      <c r="P41" s="368" t="n"/>
      <c r="Q41" s="368" t="n"/>
      <c r="R41" s="368" t="n"/>
      <c r="S41" s="368" t="n"/>
      <c r="T41" s="368" t="n"/>
      <c r="U41" s="368" t="n"/>
      <c r="V41" s="368" t="n"/>
      <c r="W41" s="368" t="n"/>
      <c r="X41" s="368" t="n"/>
      <c r="Y41" s="368" t="n"/>
      <c r="Z41" s="368" t="n"/>
      <c r="AA41" s="368" t="n"/>
      <c r="AB41" s="368" t="n"/>
      <c r="AC41" s="368" t="n"/>
      <c r="AD41" s="368" t="n"/>
      <c r="AE41" s="368" t="n"/>
      <c r="AF41" s="368" t="n"/>
      <c r="AG41" s="368" t="n"/>
      <c r="AH41" s="368" t="n"/>
      <c r="AI41" s="368" t="n"/>
      <c r="AJ41" s="368" t="n"/>
      <c r="AK41" s="368" t="n"/>
      <c r="AL41" s="368" t="n"/>
      <c r="AM41" s="368" t="n"/>
      <c r="AN41" s="368" t="n"/>
      <c r="AO41" s="368" t="n"/>
      <c r="AP41" s="368" t="n"/>
      <c r="AQ41" s="368" t="n"/>
      <c r="AR41" s="368" t="n"/>
      <c r="AS41" s="368" t="n"/>
      <c r="AT41" s="368" t="n"/>
      <c r="AU41" s="368" t="n"/>
      <c r="AV41" s="368" t="n"/>
      <c r="AW41" s="368" t="n"/>
      <c r="AX41" s="368" t="n"/>
      <c r="AY41" s="368" t="n"/>
      <c r="AZ41" s="358" t="n"/>
      <c r="BA41" s="358" t="n"/>
      <c r="BB41" s="358" t="n"/>
      <c r="BC41" s="358" t="n"/>
      <c r="BD41" s="358" t="n"/>
      <c r="BE41" s="358" t="n"/>
      <c r="BF41" s="358" t="n"/>
      <c r="BG41" s="358" t="n"/>
      <c r="BH41" s="358" t="n"/>
      <c r="BI41" s="358" t="n"/>
      <c r="BJ41" s="358" t="n"/>
      <c r="BK41" s="358" t="n"/>
      <c r="BL41" s="358" t="n"/>
      <c r="BM41" s="358" t="n"/>
      <c r="BN41" s="358" t="n"/>
      <c r="BO41" s="358" t="n"/>
      <c r="BP41" s="358" t="n"/>
      <c r="BQ41" s="358" t="n"/>
      <c r="BR41" s="358" t="n"/>
      <c r="BS41" s="358" t="n"/>
      <c r="BT41" s="358" t="n"/>
      <c r="BU41" s="358" t="n"/>
      <c r="BV41" s="358" t="n"/>
      <c r="BW41" s="358" t="n"/>
      <c r="BX41" s="358" t="n"/>
      <c r="BY41" s="358" t="n"/>
      <c r="BZ41" s="358" t="n"/>
      <c r="CA41" s="358" t="n"/>
      <c r="CB41" s="358" t="n"/>
      <c r="CC41" s="358" t="n"/>
      <c r="CD41" s="358" t="n"/>
      <c r="CE41" s="358" t="n"/>
      <c r="CF41" s="358" t="n"/>
      <c r="CG41" s="358" t="n"/>
      <c r="CH41" s="358" t="n"/>
      <c r="CI41" s="358" t="n"/>
      <c r="CJ41" s="358" t="n"/>
      <c r="CK41" s="358" t="n"/>
      <c r="CL41" s="358" t="n"/>
      <c r="CM41" s="358" t="n"/>
      <c r="CN41" s="358" t="n"/>
      <c r="CO41" s="358" t="n"/>
      <c r="CP41" s="358" t="n"/>
      <c r="CQ41" s="358" t="n"/>
      <c r="CR41" s="358" t="n"/>
      <c r="CS41" s="358" t="n"/>
      <c r="CT41" s="358" t="n"/>
      <c r="CU41" s="358" t="n"/>
      <c r="CV41" s="358" t="n"/>
      <c r="CW41" s="358" t="n"/>
      <c r="CX41" s="358" t="n"/>
      <c r="CY41" s="358" t="n"/>
      <c r="CZ41" s="358" t="n"/>
      <c r="DA41" s="358" t="n"/>
      <c r="DB41" s="358" t="n"/>
      <c r="DC41" s="358" t="n"/>
      <c r="DD41" s="358" t="n"/>
      <c r="DE41" s="358" t="n"/>
      <c r="DF41" s="358" t="n"/>
      <c r="DG41" s="358" t="n"/>
      <c r="DH41" s="358" t="n"/>
      <c r="DI41" s="359" t="n"/>
    </row>
    <row r="42" ht="13.35" customHeight="1" s="276">
      <c r="A42" s="61" t="inlineStr">
        <is>
          <t>N˚</t>
        </is>
      </c>
      <c r="B42" s="62" t="inlineStr">
        <is>
          <t>Rubricas</t>
        </is>
      </c>
      <c r="C42" s="61" t="inlineStr">
        <is>
          <t>Perc.</t>
        </is>
      </c>
      <c r="D42" s="61" t="inlineStr">
        <is>
          <t>Previsto</t>
        </is>
      </c>
      <c r="E42" s="61" t="inlineStr">
        <is>
          <t>Recebido</t>
        </is>
      </c>
      <c r="F42" s="61" t="inlineStr">
        <is>
          <t>A Receber</t>
        </is>
      </c>
      <c r="G42" s="61" t="inlineStr">
        <is>
          <t>Gasto</t>
        </is>
      </c>
      <c r="H42" s="61" t="inlineStr">
        <is>
          <t>Saldo</t>
        </is>
      </c>
      <c r="I42" s="360" t="inlineStr">
        <is>
          <t>A gastar</t>
        </is>
      </c>
      <c r="J42" s="361" t="inlineStr">
        <is>
          <t>Result.</t>
        </is>
      </c>
      <c r="K42" s="363" t="n"/>
      <c r="L42" s="83" t="inlineStr">
        <is>
          <t>Inicio</t>
        </is>
      </c>
      <c r="M42" s="369" t="n">
        <v>45688</v>
      </c>
      <c r="N42" s="363" t="n"/>
      <c r="O42" s="363" t="n"/>
      <c r="P42" s="363" t="n"/>
      <c r="Q42" s="363" t="n"/>
      <c r="R42" s="363" t="n"/>
      <c r="S42" s="363" t="n"/>
      <c r="T42" s="363" t="n"/>
      <c r="U42" s="363" t="n"/>
      <c r="V42" s="363" t="n"/>
      <c r="W42" s="363" t="n"/>
      <c r="X42" s="363" t="n"/>
      <c r="Y42" s="363" t="n"/>
      <c r="Z42" s="363" t="n"/>
      <c r="AA42" s="363" t="n"/>
      <c r="AB42" s="363" t="n"/>
      <c r="AC42" s="363" t="n"/>
      <c r="AD42" s="363" t="n"/>
      <c r="AE42" s="363" t="n"/>
      <c r="AF42" s="363" t="n"/>
      <c r="AG42" s="363" t="n"/>
      <c r="AH42" s="363" t="n"/>
      <c r="AI42" s="363" t="n"/>
      <c r="AJ42" s="363" t="n"/>
      <c r="AK42" s="363" t="n"/>
      <c r="AL42" s="363" t="n"/>
      <c r="AM42" s="363" t="n"/>
      <c r="AN42" s="363" t="n"/>
      <c r="AO42" s="363" t="n"/>
      <c r="AP42" s="363" t="n"/>
      <c r="AQ42" s="363" t="n"/>
      <c r="AR42" s="363" t="n"/>
      <c r="AS42" s="363" t="n"/>
      <c r="AT42" s="363" t="n"/>
      <c r="AU42" s="363" t="n"/>
      <c r="AV42" s="363" t="n"/>
      <c r="AW42" s="363" t="n"/>
      <c r="AX42" s="363" t="n"/>
      <c r="AY42" s="363" t="n"/>
      <c r="AZ42" s="363" t="n"/>
      <c r="BA42" s="363" t="n"/>
      <c r="BB42" s="363" t="n"/>
      <c r="BC42" s="363" t="n"/>
      <c r="BD42" s="363" t="n"/>
      <c r="BE42" s="363" t="n"/>
      <c r="BF42" s="363" t="n"/>
      <c r="BG42" s="363" t="n"/>
      <c r="BH42" s="363" t="n"/>
      <c r="BI42" s="363" t="n"/>
      <c r="BJ42" s="363" t="n"/>
      <c r="BK42" s="363" t="n"/>
      <c r="BL42" s="363" t="n"/>
      <c r="BM42" s="363" t="n"/>
      <c r="BN42" s="363" t="n"/>
      <c r="BO42" s="363" t="n"/>
      <c r="BP42" s="363" t="n"/>
      <c r="BQ42" s="363" t="n"/>
      <c r="BR42" s="363" t="n"/>
      <c r="BS42" s="363" t="n"/>
      <c r="BT42" s="363" t="n"/>
      <c r="BU42" s="363" t="n"/>
      <c r="BV42" s="363" t="n"/>
      <c r="BW42" s="363" t="n"/>
      <c r="BX42" s="363" t="n"/>
      <c r="BY42" s="363" t="n"/>
      <c r="BZ42" s="363" t="n"/>
      <c r="CA42" s="363" t="n"/>
      <c r="CB42" s="363" t="n"/>
      <c r="CC42" s="363" t="n"/>
      <c r="CD42" s="363" t="n"/>
      <c r="CE42" s="363" t="n"/>
      <c r="CF42" s="363" t="n"/>
      <c r="CG42" s="363" t="n"/>
      <c r="CH42" s="363" t="n"/>
      <c r="CI42" s="363" t="n"/>
      <c r="CJ42" s="363" t="n"/>
      <c r="CK42" s="363" t="n"/>
      <c r="CL42" s="363" t="n"/>
      <c r="CM42" s="363" t="n"/>
      <c r="CN42" s="363" t="n"/>
      <c r="CO42" s="363" t="n"/>
      <c r="CP42" s="363" t="n"/>
      <c r="CQ42" s="363" t="n"/>
      <c r="CR42" s="363" t="n"/>
      <c r="CS42" s="363" t="n"/>
      <c r="CT42" s="363" t="n"/>
      <c r="CU42" s="363" t="n"/>
      <c r="CV42" s="363" t="n"/>
      <c r="CW42" s="363" t="n"/>
      <c r="CX42" s="363" t="n"/>
      <c r="CY42" s="363" t="n"/>
      <c r="CZ42" s="363" t="n"/>
      <c r="DA42" s="363" t="n"/>
      <c r="DB42" s="363" t="n"/>
      <c r="DC42" s="363" t="n"/>
      <c r="DD42" s="363" t="n"/>
      <c r="DE42" s="363" t="n"/>
      <c r="DF42" s="363" t="n"/>
      <c r="DG42" s="363" t="n"/>
      <c r="DH42" s="363" t="n"/>
      <c r="DI42" s="362" t="n"/>
      <c r="DJ42" s="362" t="n"/>
      <c r="DK42" s="362" t="n"/>
      <c r="DL42" s="362" t="n"/>
      <c r="DM42" s="362" t="n"/>
      <c r="DN42" s="362" t="n"/>
      <c r="DO42" s="362" t="n"/>
      <c r="DP42" s="362" t="n"/>
      <c r="DQ42" s="362" t="n"/>
      <c r="DR42" s="362" t="n"/>
      <c r="DS42" s="362" t="n"/>
      <c r="DT42" s="362" t="n"/>
      <c r="DU42" s="362" t="n"/>
      <c r="DV42" s="362" t="n"/>
      <c r="DW42" s="362" t="n"/>
      <c r="DX42" s="362" t="n"/>
      <c r="DY42" s="362" t="n"/>
      <c r="DZ42" s="362" t="n"/>
      <c r="EA42" s="362" t="n"/>
      <c r="EB42" s="362" t="n"/>
      <c r="EC42" s="362" t="n"/>
      <c r="ED42" s="362" t="n"/>
      <c r="EE42" s="363" t="n"/>
      <c r="EF42" s="363" t="n"/>
      <c r="EG42" s="363" t="n"/>
    </row>
    <row r="43" ht="13.35" customHeight="1" s="276">
      <c r="A43" s="55" t="n">
        <v>1</v>
      </c>
      <c r="B43" s="254" t="inlineStr">
        <is>
          <t>Aplicação em Fundos</t>
        </is>
      </c>
      <c r="C43" s="63" t="n">
        <v>0</v>
      </c>
      <c r="D43" s="64" t="n">
        <v>0</v>
      </c>
      <c r="E43" s="65" t="n">
        <v>0</v>
      </c>
      <c r="F43" s="66" t="n">
        <v>0</v>
      </c>
      <c r="G43" s="64" t="n">
        <v>0</v>
      </c>
      <c r="H43" s="67" t="n">
        <v>24804.89</v>
      </c>
      <c r="I43" s="68" t="n">
        <v>0</v>
      </c>
      <c r="J43" s="69">
        <f>H43-I43</f>
        <v/>
      </c>
      <c r="K43" s="71" t="n"/>
      <c r="L43" s="83" t="inlineStr">
        <is>
          <t xml:space="preserve">Duração </t>
        </is>
      </c>
      <c r="M43" s="84" t="inlineStr">
        <is>
          <t>24 meses</t>
        </is>
      </c>
      <c r="N43" s="71" t="n"/>
      <c r="O43" s="71" t="n"/>
      <c r="P43" s="71" t="n"/>
      <c r="Q43" s="71" t="n"/>
      <c r="R43" s="71" t="n"/>
      <c r="S43" s="71" t="n"/>
      <c r="T43" s="71" t="n"/>
      <c r="U43" s="71" t="n"/>
      <c r="V43" s="71" t="n"/>
      <c r="W43" s="71" t="n"/>
      <c r="X43" s="71" t="n"/>
      <c r="Y43" s="71" t="n"/>
      <c r="Z43" s="71" t="n"/>
      <c r="AA43" s="71" t="n"/>
      <c r="AB43" s="71" t="n"/>
      <c r="AC43" s="71" t="n"/>
      <c r="AD43" s="71" t="n"/>
      <c r="AE43" s="71" t="n"/>
      <c r="AF43" s="71" t="n"/>
      <c r="AG43" s="71" t="n"/>
      <c r="AH43" s="71" t="n"/>
      <c r="AI43" s="71" t="n"/>
      <c r="AJ43" s="71" t="n"/>
      <c r="AK43" s="71" t="n"/>
      <c r="AL43" s="71" t="n"/>
      <c r="AM43" s="71" t="n"/>
      <c r="AN43" s="71" t="n"/>
      <c r="AO43" s="71" t="n"/>
      <c r="AP43" s="71" t="n"/>
      <c r="AQ43" s="71" t="n"/>
      <c r="AR43" s="71" t="n"/>
      <c r="AS43" s="71" t="n"/>
      <c r="AT43" s="71" t="n"/>
      <c r="AU43" s="71" t="n"/>
      <c r="AV43" s="71" t="n"/>
      <c r="AW43" s="71" t="n"/>
      <c r="AX43" s="71" t="n"/>
      <c r="AY43" s="71" t="n"/>
      <c r="AZ43" s="71" t="n"/>
      <c r="BA43" s="71" t="n"/>
      <c r="BB43" s="71" t="n"/>
      <c r="BC43" s="71" t="n"/>
      <c r="BD43" s="71" t="n"/>
      <c r="BE43" s="71" t="n"/>
      <c r="BF43" s="71" t="n"/>
      <c r="BG43" s="71" t="n"/>
      <c r="BH43" s="71" t="n"/>
      <c r="BI43" s="71" t="n"/>
      <c r="BJ43" s="71" t="n"/>
      <c r="BK43" s="71" t="n"/>
      <c r="BL43" s="71" t="n"/>
      <c r="BM43" s="71" t="n"/>
      <c r="BN43" s="71" t="n"/>
      <c r="BO43" s="71" t="n"/>
      <c r="BP43" s="71" t="n"/>
      <c r="BQ43" s="71" t="n"/>
      <c r="BR43" s="71" t="n"/>
      <c r="BS43" s="71" t="n"/>
      <c r="BT43" s="71" t="n"/>
      <c r="BU43" s="71" t="n"/>
      <c r="BV43" s="71" t="n"/>
      <c r="BW43" s="71" t="n"/>
      <c r="BX43" s="71" t="n"/>
      <c r="BY43" s="71" t="n"/>
      <c r="BZ43" s="71" t="n"/>
      <c r="CA43" s="71" t="n"/>
      <c r="CB43" s="71" t="n"/>
      <c r="CC43" s="71" t="n"/>
      <c r="CD43" s="71" t="n"/>
      <c r="CE43" s="71" t="n"/>
      <c r="CF43" s="71" t="n"/>
      <c r="CG43" s="71" t="n"/>
      <c r="CH43" s="71" t="n"/>
      <c r="CI43" s="71" t="n"/>
      <c r="CJ43" s="71" t="n"/>
      <c r="CK43" s="71" t="n"/>
      <c r="CL43" s="71" t="n"/>
      <c r="CM43" s="71" t="n"/>
      <c r="CN43" s="71" t="n"/>
      <c r="CO43" s="71" t="n"/>
      <c r="CP43" s="71" t="n"/>
      <c r="CQ43" s="71" t="n"/>
      <c r="CR43" s="71" t="n"/>
      <c r="CS43" s="71" t="n"/>
      <c r="CT43" s="71" t="n"/>
      <c r="CU43" s="71" t="n"/>
      <c r="CV43" s="71" t="n"/>
      <c r="CW43" s="71" t="n"/>
      <c r="CX43" s="71" t="n"/>
      <c r="CY43" s="71" t="n"/>
      <c r="CZ43" s="71" t="n"/>
      <c r="DA43" s="71" t="n"/>
      <c r="DB43" s="71" t="n"/>
      <c r="DC43" s="71" t="n"/>
      <c r="DD43" s="71" t="n"/>
      <c r="DE43" s="71" t="n"/>
      <c r="DF43" s="71" t="n"/>
      <c r="DG43" s="71" t="n"/>
      <c r="DH43" s="71" t="n"/>
      <c r="DI43" s="70" t="n"/>
      <c r="DJ43" s="70" t="n"/>
      <c r="DK43" s="70" t="n"/>
      <c r="DL43" s="70" t="n"/>
      <c r="DM43" s="70" t="n"/>
      <c r="DN43" s="70" t="n"/>
      <c r="DO43" s="70" t="n"/>
      <c r="DP43" s="70" t="n"/>
      <c r="DQ43" s="70" t="n"/>
      <c r="DR43" s="70" t="n"/>
      <c r="DS43" s="70" t="n"/>
      <c r="DT43" s="70" t="n"/>
      <c r="DU43" s="70" t="n"/>
      <c r="DV43" s="70" t="n"/>
      <c r="DW43" s="70" t="n"/>
      <c r="DX43" s="70" t="n"/>
      <c r="DY43" s="70" t="n"/>
      <c r="DZ43" s="70" t="n"/>
      <c r="EA43" s="70" t="n"/>
      <c r="EB43" s="70" t="n"/>
      <c r="EC43" s="70" t="n"/>
      <c r="ED43" s="70" t="n"/>
      <c r="EE43" s="71" t="n"/>
      <c r="EF43" s="71" t="n"/>
      <c r="EG43" s="71" t="n"/>
    </row>
    <row r="44" ht="13.35" customHeight="1" s="276">
      <c r="A44" s="55">
        <f>A43+1</f>
        <v/>
      </c>
      <c r="B44" s="72" t="inlineStr">
        <is>
          <t>Custos do |Projeto</t>
        </is>
      </c>
      <c r="C44" s="63">
        <f>D44/22661520</f>
        <v/>
      </c>
      <c r="D44" s="64" t="n">
        <v>6124945.34</v>
      </c>
      <c r="E44" s="65" t="n">
        <v>3116712.19</v>
      </c>
      <c r="F44" s="66">
        <f>D44-E44</f>
        <v/>
      </c>
      <c r="G44" s="64">
        <f>-1157800-3116712.19-24800</f>
        <v/>
      </c>
      <c r="H44" s="67">
        <f>E44+G44</f>
        <v/>
      </c>
      <c r="I44" s="68">
        <f>-O39</f>
        <v/>
      </c>
      <c r="J44" s="69">
        <f>E44+F44+G44+I44</f>
        <v/>
      </c>
      <c r="K44" s="71" t="n"/>
      <c r="L44" s="83" t="inlineStr">
        <is>
          <t>Fim</t>
        </is>
      </c>
      <c r="M44" s="369" t="n">
        <v>46418</v>
      </c>
      <c r="N44" s="71" t="n"/>
      <c r="O44" s="71" t="n"/>
      <c r="P44" s="71" t="n"/>
      <c r="Q44" s="71" t="n"/>
      <c r="R44" s="71" t="n"/>
      <c r="S44" s="71" t="n"/>
      <c r="T44" s="71" t="n"/>
      <c r="U44" s="71" t="n"/>
      <c r="V44" s="71" t="n"/>
      <c r="W44" s="71" t="n"/>
      <c r="X44" s="71" t="n"/>
      <c r="Y44" s="71" t="n"/>
      <c r="Z44" s="71" t="n"/>
      <c r="AA44" s="71" t="n"/>
      <c r="AB44" s="71" t="n"/>
      <c r="AC44" s="71" t="n"/>
      <c r="AD44" s="71" t="n"/>
      <c r="AE44" s="71" t="n"/>
      <c r="AF44" s="71" t="n"/>
      <c r="AG44" s="71" t="n"/>
      <c r="AH44" s="71" t="n"/>
      <c r="AI44" s="71" t="n"/>
      <c r="AJ44" s="71" t="n"/>
      <c r="AK44" s="71" t="n"/>
      <c r="AL44" s="71" t="n"/>
      <c r="AM44" s="71" t="n"/>
      <c r="AN44" s="71" t="n"/>
      <c r="AO44" s="71" t="n"/>
      <c r="AP44" s="71" t="n"/>
      <c r="AQ44" s="71" t="n"/>
      <c r="AR44" s="71" t="n"/>
      <c r="AS44" s="71" t="n"/>
      <c r="AT44" s="71" t="n"/>
      <c r="AU44" s="71" t="n"/>
      <c r="AV44" s="71" t="n"/>
      <c r="AW44" s="71" t="n"/>
      <c r="AX44" s="71" t="n"/>
      <c r="AY44" s="71" t="n"/>
      <c r="AZ44" s="71" t="n"/>
      <c r="BA44" s="71" t="n"/>
      <c r="BB44" s="71" t="n"/>
      <c r="BC44" s="71" t="n"/>
      <c r="BD44" s="71" t="n"/>
      <c r="BE44" s="71" t="n"/>
      <c r="BF44" s="71" t="n"/>
      <c r="BG44" s="71" t="n"/>
      <c r="BH44" s="71" t="n"/>
      <c r="BI44" s="71" t="n"/>
      <c r="BJ44" s="71" t="n"/>
      <c r="BK44" s="71" t="n"/>
      <c r="BL44" s="71" t="n"/>
      <c r="BM44" s="71" t="n"/>
      <c r="BN44" s="71" t="n"/>
      <c r="BO44" s="71" t="n"/>
      <c r="BP44" s="71" t="n"/>
      <c r="BQ44" s="71" t="n"/>
      <c r="BR44" s="71" t="n"/>
      <c r="BS44" s="71" t="n"/>
      <c r="BT44" s="71" t="n"/>
      <c r="BU44" s="71" t="n"/>
      <c r="BV44" s="71" t="n"/>
      <c r="BW44" s="71" t="n"/>
      <c r="BX44" s="71" t="n"/>
      <c r="BY44" s="71" t="n"/>
      <c r="BZ44" s="71" t="n"/>
      <c r="CA44" s="71" t="n"/>
      <c r="CB44" s="71" t="n"/>
      <c r="CC44" s="71" t="n"/>
      <c r="CD44" s="71" t="n"/>
      <c r="CE44" s="71" t="n"/>
      <c r="CF44" s="71" t="n"/>
      <c r="CG44" s="71" t="n"/>
      <c r="CH44" s="71" t="n"/>
      <c r="CI44" s="71" t="n"/>
      <c r="CJ44" s="71" t="n"/>
      <c r="CK44" s="71" t="n"/>
      <c r="CL44" s="71" t="n"/>
      <c r="CM44" s="71" t="n"/>
      <c r="CN44" s="71" t="n"/>
      <c r="CO44" s="71" t="n"/>
      <c r="CP44" s="71" t="n"/>
      <c r="CQ44" s="71" t="n"/>
      <c r="CR44" s="71" t="n"/>
      <c r="CS44" s="71" t="n"/>
      <c r="CT44" s="71" t="n"/>
      <c r="CU44" s="71" t="n"/>
      <c r="CV44" s="71" t="n"/>
      <c r="CW44" s="71" t="n"/>
      <c r="CX44" s="71" t="n"/>
      <c r="CY44" s="71" t="n"/>
      <c r="CZ44" s="71" t="n"/>
      <c r="DA44" s="71" t="n"/>
      <c r="DB44" s="71" t="n"/>
      <c r="DC44" s="71" t="n"/>
      <c r="DD44" s="71" t="n"/>
      <c r="DE44" s="71" t="n"/>
      <c r="DF44" s="71" t="n"/>
      <c r="DG44" s="71" t="n"/>
      <c r="DH44" s="71" t="n"/>
      <c r="DI44" s="70" t="n"/>
      <c r="DJ44" s="70" t="n"/>
      <c r="DK44" s="70" t="n"/>
      <c r="DL44" s="70" t="n"/>
      <c r="DM44" s="70" t="n"/>
      <c r="DN44" s="70" t="n"/>
      <c r="DO44" s="70" t="n"/>
      <c r="DP44" s="70" t="n"/>
      <c r="DQ44" s="70" t="n"/>
      <c r="DR44" s="70" t="n"/>
      <c r="DS44" s="70" t="n"/>
      <c r="DT44" s="70" t="n"/>
      <c r="DU44" s="70" t="n"/>
      <c r="DV44" s="70" t="n"/>
      <c r="DW44" s="70" t="n"/>
      <c r="DX44" s="70" t="n"/>
      <c r="DY44" s="70" t="n"/>
      <c r="DZ44" s="70" t="n"/>
      <c r="EA44" s="70" t="n"/>
      <c r="EB44" s="70" t="n"/>
      <c r="EC44" s="70" t="n"/>
      <c r="ED44" s="70" t="n"/>
      <c r="EE44" s="71" t="n"/>
      <c r="EF44" s="71" t="n"/>
      <c r="EG44" s="71" t="n"/>
    </row>
    <row r="45" ht="13.35" customHeight="1" s="276">
      <c r="A45" s="76" t="n"/>
      <c r="B45" s="62" t="inlineStr">
        <is>
          <t>Totais</t>
        </is>
      </c>
      <c r="C45" s="77">
        <f>SUM(C44:C44)</f>
        <v/>
      </c>
      <c r="D45" s="78">
        <f>SUM(D43:D44)</f>
        <v/>
      </c>
      <c r="E45" s="78">
        <f>SUM(E43:E44)</f>
        <v/>
      </c>
      <c r="F45" s="78">
        <f>SUM(F43:F44)</f>
        <v/>
      </c>
      <c r="G45" s="78">
        <f>SUM(G43:G44)</f>
        <v/>
      </c>
      <c r="H45" s="78">
        <f>SUM(H43:H44)</f>
        <v/>
      </c>
      <c r="I45" s="78">
        <f>SUM(I43:I44)</f>
        <v/>
      </c>
      <c r="J45" s="78">
        <f>SUM(J43:J44)</f>
        <v/>
      </c>
      <c r="K45" s="85" t="n"/>
      <c r="M45" s="85" t="n"/>
      <c r="N45" s="85" t="n"/>
      <c r="O45" s="85" t="n"/>
      <c r="P45" s="85" t="n"/>
      <c r="Q45" s="85" t="n"/>
      <c r="R45" s="85" t="n"/>
      <c r="S45" s="85" t="n"/>
      <c r="T45" s="85" t="n"/>
      <c r="U45" s="85" t="n"/>
      <c r="V45" s="85" t="n"/>
      <c r="W45" s="85" t="n"/>
      <c r="X45" s="85" t="n"/>
      <c r="Y45" s="85" t="n"/>
      <c r="Z45" s="85" t="n"/>
      <c r="AA45" s="85" t="n"/>
      <c r="AB45" s="85" t="n"/>
      <c r="AC45" s="85" t="n"/>
      <c r="AD45" s="85" t="n"/>
      <c r="AE45" s="85" t="n"/>
      <c r="AF45" s="85" t="n"/>
      <c r="AG45" s="85" t="n"/>
      <c r="AH45" s="85" t="n"/>
      <c r="AI45" s="85" t="n"/>
      <c r="AJ45" s="85" t="n"/>
      <c r="AK45" s="71" t="n"/>
      <c r="AL45" s="71" t="n"/>
      <c r="AM45" s="71" t="n"/>
      <c r="AN45" s="71" t="n"/>
      <c r="AO45" s="71" t="n"/>
      <c r="AP45" s="71" t="n"/>
      <c r="AQ45" s="71" t="n"/>
      <c r="AR45" s="71" t="n"/>
      <c r="AS45" s="71" t="n"/>
      <c r="AT45" s="71" t="n"/>
      <c r="AU45" s="71" t="n"/>
      <c r="AV45" s="71" t="n"/>
      <c r="AW45" s="71" t="n"/>
      <c r="AX45" s="71" t="n"/>
      <c r="AY45" s="71" t="n"/>
      <c r="AZ45" s="71" t="n"/>
      <c r="BA45" s="71" t="n"/>
      <c r="BB45" s="71" t="n"/>
      <c r="BC45" s="71" t="n"/>
      <c r="BD45" s="71" t="n"/>
      <c r="BE45" s="71" t="n"/>
      <c r="BF45" s="71" t="n"/>
      <c r="BG45" s="71" t="n"/>
      <c r="BH45" s="71" t="n"/>
      <c r="BI45" s="71" t="n"/>
      <c r="BJ45" s="71" t="n"/>
      <c r="BK45" s="71" t="n"/>
      <c r="BL45" s="71" t="n"/>
      <c r="BM45" s="71" t="n"/>
      <c r="BN45" s="71" t="n"/>
      <c r="BO45" s="71" t="n"/>
      <c r="BP45" s="71" t="n"/>
      <c r="BQ45" s="71" t="n"/>
      <c r="BR45" s="71" t="n"/>
      <c r="BS45" s="71" t="n"/>
      <c r="BT45" s="71" t="n"/>
      <c r="BU45" s="71" t="n"/>
      <c r="BV45" s="71" t="n"/>
      <c r="BW45" s="71" t="n"/>
      <c r="BX45" s="71" t="n"/>
      <c r="BY45" s="71" t="n"/>
      <c r="BZ45" s="71" t="n"/>
      <c r="CA45" s="71" t="n"/>
      <c r="CB45" s="71" t="n"/>
      <c r="CC45" s="71" t="n"/>
      <c r="CD45" s="71" t="n"/>
      <c r="CE45" s="71" t="n"/>
      <c r="CF45" s="71" t="n"/>
      <c r="CG45" s="71" t="n"/>
      <c r="CH45" s="71" t="n"/>
      <c r="CI45" s="71" t="n"/>
      <c r="CJ45" s="71" t="n"/>
      <c r="CK45" s="71" t="n"/>
      <c r="CL45" s="71" t="n"/>
      <c r="CM45" s="71" t="n"/>
      <c r="CN45" s="71" t="n"/>
      <c r="CO45" s="71" t="n"/>
      <c r="CP45" s="71" t="n"/>
      <c r="CQ45" s="71" t="n"/>
      <c r="CR45" s="71" t="n"/>
      <c r="CS45" s="71" t="n"/>
      <c r="CT45" s="71" t="n"/>
      <c r="CU45" s="71" t="n"/>
      <c r="CV45" s="71" t="n"/>
      <c r="CW45" s="71" t="n"/>
      <c r="CX45" s="71" t="n"/>
      <c r="CY45" s="71" t="n"/>
      <c r="CZ45" s="71" t="n"/>
      <c r="DA45" s="71" t="n"/>
      <c r="DB45" s="71" t="n"/>
      <c r="DC45" s="71" t="n"/>
      <c r="DD45" s="71" t="n"/>
      <c r="DE45" s="71" t="n"/>
      <c r="DF45" s="71" t="n"/>
      <c r="DG45" s="71" t="n"/>
      <c r="DH45" s="71" t="n"/>
      <c r="DI45" s="70" t="n"/>
      <c r="DJ45" s="70" t="n"/>
      <c r="DK45" s="70" t="n"/>
      <c r="DL45" s="70" t="n"/>
      <c r="DM45" s="70" t="n"/>
      <c r="DN45" s="70" t="n"/>
      <c r="DO45" s="70" t="n"/>
      <c r="DP45" s="70" t="n"/>
      <c r="DQ45" s="70" t="n"/>
      <c r="DR45" s="70" t="n"/>
      <c r="DS45" s="70" t="n"/>
      <c r="DT45" s="70" t="n"/>
      <c r="DU45" s="70" t="n"/>
      <c r="DV45" s="70" t="n"/>
      <c r="DW45" s="70" t="n"/>
      <c r="DX45" s="70" t="n"/>
      <c r="DY45" s="70" t="n"/>
      <c r="DZ45" s="70" t="n"/>
      <c r="EA45" s="70" t="n"/>
      <c r="EB45" s="70" t="n"/>
      <c r="EC45" s="70" t="n"/>
      <c r="ED45" s="70" t="n"/>
      <c r="EE45" s="71" t="n"/>
      <c r="EF45" s="71" t="n"/>
      <c r="EG45" s="71" t="n"/>
    </row>
    <row r="46">
      <c r="A46" s="47" t="n"/>
    </row>
    <row r="47">
      <c r="A47" s="47" t="n"/>
    </row>
    <row r="48">
      <c r="A48" s="47" t="n"/>
    </row>
    <row r="49" customFormat="1" s="47"/>
    <row r="50" customFormat="1" s="47"/>
    <row r="51" customFormat="1" s="47"/>
    <row r="52" customFormat="1" s="47"/>
    <row r="53" customFormat="1" s="47"/>
    <row r="54" customFormat="1" s="47"/>
    <row r="55" customFormat="1" s="47"/>
    <row r="56" customFormat="1" s="47"/>
    <row r="57" customFormat="1" s="47"/>
    <row r="58" customFormat="1" s="47"/>
    <row r="59" customFormat="1" s="47"/>
    <row r="60" customFormat="1" s="47"/>
    <row r="61" customFormat="1" s="47"/>
    <row r="62" customFormat="1" s="47"/>
    <row r="63" customFormat="1" s="47"/>
    <row r="64" customFormat="1" s="47"/>
    <row r="65" customFormat="1" s="47"/>
    <row r="66" customFormat="1" s="47"/>
    <row r="67" customFormat="1" s="47"/>
    <row r="68" customFormat="1" s="47"/>
    <row r="69" customFormat="1" s="47"/>
    <row r="70" customFormat="1" s="47"/>
    <row r="71" customFormat="1" s="47"/>
    <row r="72" customFormat="1" s="47"/>
    <row r="73" customFormat="1" s="47"/>
    <row r="74" customFormat="1" s="47"/>
    <row r="75" customFormat="1" s="47"/>
    <row r="76" customFormat="1" s="47"/>
    <row r="77" customFormat="1" s="47"/>
    <row r="78" customFormat="1" s="47"/>
    <row r="79" customFormat="1" s="47"/>
    <row r="80" customFormat="1" s="47"/>
    <row r="81" customFormat="1" s="47"/>
    <row r="82" customFormat="1" s="47"/>
    <row r="83" customFormat="1" s="47"/>
    <row r="84" customFormat="1" s="47"/>
    <row r="85" customFormat="1" s="47"/>
    <row r="86" customFormat="1" s="47"/>
    <row r="87" ht="14.25" customFormat="1" customHeight="1" s="47"/>
    <row r="88" ht="14.25" customFormat="1" customHeight="1" s="47"/>
    <row r="89" ht="14.25" customFormat="1" customHeight="1" s="47"/>
    <row r="90" ht="14.25" customFormat="1" customHeight="1" s="47"/>
    <row r="91" ht="14.25" customFormat="1" customHeight="1" s="47"/>
    <row r="92" ht="14.25" customFormat="1" customHeight="1" s="47"/>
    <row r="93" ht="14.25" customFormat="1" customHeight="1" s="47"/>
    <row r="94" ht="14.25" customFormat="1" customHeight="1" s="47"/>
    <row r="95" ht="14.25" customFormat="1" customHeight="1" s="47"/>
    <row r="96" ht="14.25" customFormat="1" customHeight="1" s="47"/>
    <row r="97" ht="14.25" customFormat="1" customHeight="1" s="47"/>
    <row r="98" ht="14.25" customFormat="1" customHeight="1" s="47"/>
    <row r="99" ht="14.25" customFormat="1" customHeight="1" s="47"/>
    <row r="100" ht="14.25" customFormat="1" customHeight="1" s="47"/>
    <row r="101" ht="14.25" customFormat="1" customHeight="1" s="47"/>
    <row r="102" ht="14.25" customFormat="1" customHeight="1" s="47"/>
    <row r="103" ht="14.25" customFormat="1" customHeight="1" s="47"/>
    <row r="104" ht="14.25" customFormat="1" customHeight="1" s="47"/>
    <row r="105" ht="14.25" customFormat="1" customHeight="1" s="47"/>
    <row r="106" ht="14.25" customFormat="1" customHeight="1" s="47"/>
    <row r="107" ht="14.25" customFormat="1" customHeight="1" s="47"/>
    <row r="108" ht="14.25" customFormat="1" customHeight="1" s="47"/>
    <row r="109" ht="14.25" customFormat="1" customHeight="1" s="47"/>
    <row r="110" ht="14.25" customFormat="1" customHeight="1" s="47"/>
    <row r="111" ht="14.25" customFormat="1" customHeight="1" s="47"/>
    <row r="112" ht="14.25" customFormat="1" customHeight="1" s="47"/>
    <row r="113" ht="14.25" customFormat="1" customHeight="1" s="47"/>
    <row r="114" ht="14.25" customFormat="1" customHeight="1" s="47"/>
    <row r="115" ht="14.25" customFormat="1" customHeight="1" s="47"/>
    <row r="116" ht="14.25" customFormat="1" customHeight="1" s="47"/>
    <row r="117" ht="14.25" customFormat="1" customHeight="1" s="47"/>
    <row r="118" ht="14.25" customFormat="1" customHeight="1" s="47"/>
    <row r="119" ht="14.25" customFormat="1" customHeight="1" s="47"/>
    <row r="120" ht="14.25" customFormat="1" customHeight="1" s="47"/>
    <row r="121" ht="14.25" customFormat="1" customHeight="1" s="47"/>
    <row r="122" ht="14.25" customFormat="1" customHeight="1" s="47"/>
    <row r="123" ht="14.25" customFormat="1" customHeight="1" s="47"/>
    <row r="124" ht="14.25" customFormat="1" customHeight="1" s="47"/>
    <row r="125" ht="14.25" customFormat="1" customHeight="1" s="47"/>
    <row r="126" ht="14.25" customFormat="1" customHeight="1" s="47"/>
    <row r="127" ht="14.25" customFormat="1" customHeight="1" s="47"/>
    <row r="128" ht="14.25" customFormat="1" customHeight="1" s="47"/>
    <row r="129" ht="14.25" customFormat="1" customHeight="1" s="47"/>
    <row r="130" ht="14.25" customFormat="1" customHeight="1" s="47"/>
    <row r="131" ht="14.25" customFormat="1" customHeight="1" s="47"/>
    <row r="132" ht="14.25" customFormat="1" customHeight="1" s="47"/>
    <row r="133" ht="14.25" customFormat="1" customHeight="1" s="47"/>
    <row r="134" ht="14.25" customFormat="1" customHeight="1" s="47"/>
    <row r="135" ht="14.25" customFormat="1" customHeight="1" s="47"/>
    <row r="136" ht="14.25" customFormat="1" customHeight="1" s="47"/>
    <row r="137" ht="14.25" customFormat="1" customHeight="1" s="47"/>
    <row r="138" ht="14.25" customFormat="1" customHeight="1" s="47"/>
    <row r="139" ht="14.25" customFormat="1" customHeight="1" s="47"/>
    <row r="140" ht="14.25" customFormat="1" customHeight="1" s="47"/>
    <row r="141" ht="14.25" customFormat="1" customHeight="1" s="47"/>
    <row r="142" ht="14.25" customFormat="1" customHeight="1" s="47"/>
    <row r="143" ht="14.25" customFormat="1" customHeight="1" s="47"/>
    <row r="144" ht="14.25" customFormat="1" customHeight="1" s="47"/>
    <row r="145" ht="14.25" customFormat="1" customHeight="1" s="47"/>
    <row r="146" ht="14.25" customFormat="1" customHeight="1" s="47"/>
    <row r="147" ht="14.25" customFormat="1" customHeight="1" s="47"/>
    <row r="148" ht="14.25" customFormat="1" customHeight="1" s="47"/>
    <row r="149" ht="14.25" customFormat="1" customHeight="1" s="47"/>
    <row r="150" ht="14.25" customFormat="1" customHeight="1" s="47"/>
    <row r="151" ht="14.25" customFormat="1" customHeight="1" s="47"/>
    <row r="152" ht="14.25" customFormat="1" customHeight="1" s="47"/>
    <row r="153" ht="14.25" customFormat="1" customHeight="1" s="47"/>
    <row r="154" ht="14.25" customFormat="1" customHeight="1" s="47"/>
    <row r="155" ht="14.25" customFormat="1" customHeight="1" s="47"/>
    <row r="156" ht="14.25" customFormat="1" customHeight="1" s="47"/>
    <row r="157" ht="14.25" customFormat="1" customHeight="1" s="47"/>
    <row r="158" ht="14.25" customFormat="1" customHeight="1" s="47"/>
    <row r="159" ht="14.25" customFormat="1" customHeight="1" s="47"/>
    <row r="160" ht="14.25" customFormat="1" customHeight="1" s="47"/>
    <row r="161" ht="14.25" customFormat="1" customHeight="1" s="47"/>
    <row r="162" ht="14.25" customFormat="1" customHeight="1" s="47"/>
    <row r="163" ht="14.25" customFormat="1" customHeight="1" s="47"/>
    <row r="164" ht="14.25" customFormat="1" customHeight="1" s="47"/>
    <row r="165" ht="14.25" customFormat="1" customHeight="1" s="47"/>
    <row r="166" ht="14.25" customFormat="1" customHeight="1" s="47"/>
    <row r="167" ht="14.25" customFormat="1" customHeight="1" s="47"/>
    <row r="168" ht="14.25" customFormat="1" customHeight="1" s="47"/>
    <row r="169" ht="14.25" customFormat="1" customHeight="1" s="47"/>
    <row r="170" ht="14.25" customFormat="1" customHeight="1" s="47"/>
    <row r="171" ht="14.25" customFormat="1" customHeight="1" s="47"/>
    <row r="172" ht="14.25" customFormat="1" customHeight="1" s="47"/>
    <row r="173" ht="14.25" customFormat="1" customHeight="1" s="47"/>
    <row r="174" ht="14.25" customFormat="1" customHeight="1" s="47"/>
    <row r="175" ht="14.25" customFormat="1" customHeight="1" s="47"/>
    <row r="176" ht="14.25" customFormat="1" customHeight="1" s="47"/>
    <row r="177" ht="14.25" customFormat="1" customHeight="1" s="47"/>
    <row r="178" ht="14.25" customFormat="1" customHeight="1" s="47"/>
    <row r="179" ht="14.25" customFormat="1" customHeight="1" s="47"/>
    <row r="180" ht="14.25" customFormat="1" customHeight="1" s="47"/>
    <row r="181" ht="14.25" customFormat="1" customHeight="1" s="47"/>
    <row r="182" ht="14.25" customFormat="1" customHeight="1" s="47"/>
    <row r="183" ht="14.25" customFormat="1" customHeight="1" s="47"/>
    <row r="184" ht="14.25" customFormat="1" customHeight="1" s="47"/>
    <row r="185" ht="14.25" customFormat="1" customHeight="1" s="47"/>
    <row r="186" ht="14.25" customFormat="1" customHeight="1" s="47"/>
    <row r="187" ht="14.25" customFormat="1" customHeight="1" s="47"/>
    <row r="188" ht="14.25" customFormat="1" customHeight="1" s="47"/>
    <row r="189" ht="14.25" customFormat="1" customHeight="1" s="47"/>
    <row r="190" ht="14.25" customFormat="1" customHeight="1" s="47"/>
    <row r="191" ht="14.25" customFormat="1" customHeight="1" s="47"/>
    <row r="192" ht="14.25" customFormat="1" customHeight="1" s="47"/>
    <row r="193" ht="14.25" customFormat="1" customHeight="1" s="47"/>
    <row r="194" ht="14.25" customFormat="1" customHeight="1" s="47"/>
    <row r="195" ht="14.25" customFormat="1" customHeight="1" s="47"/>
    <row r="196" ht="14.25" customFormat="1" customHeight="1" s="47"/>
    <row r="197" ht="14.25" customFormat="1" customHeight="1" s="47"/>
    <row r="198" ht="14.25" customFormat="1" customHeight="1" s="47"/>
    <row r="199" ht="14.25" customFormat="1" customHeight="1" s="47"/>
    <row r="200" ht="14.25" customFormat="1" customHeight="1" s="47"/>
    <row r="201" ht="14.25" customFormat="1" customHeight="1" s="47"/>
    <row r="202" ht="14.25" customFormat="1" customHeight="1" s="47"/>
    <row r="203" ht="14.25" customFormat="1" customHeight="1" s="47"/>
    <row r="204" ht="14.25" customFormat="1" customHeight="1" s="47"/>
    <row r="205" ht="14.25" customFormat="1" customHeight="1" s="47"/>
    <row r="206" ht="14.25" customFormat="1" customHeight="1" s="47"/>
    <row r="207" ht="14.25" customFormat="1" customHeight="1" s="47"/>
    <row r="208" ht="14.25" customFormat="1" customHeight="1" s="47"/>
    <row r="209" ht="14.25" customFormat="1" customHeight="1" s="47"/>
    <row r="210" ht="14.25" customFormat="1" customHeight="1" s="47"/>
    <row r="211" ht="14.25" customFormat="1" customHeight="1" s="47"/>
    <row r="212" ht="14.25" customFormat="1" customHeight="1" s="47"/>
    <row r="213" ht="14.25" customFormat="1" customHeight="1" s="47"/>
    <row r="214" ht="14.25" customFormat="1" customHeight="1" s="47"/>
    <row r="215" ht="14.25" customFormat="1" customHeight="1" s="47"/>
    <row r="216" ht="14.25" customFormat="1" customHeight="1" s="47"/>
    <row r="217" ht="14.25" customFormat="1" customHeight="1" s="47"/>
    <row r="218" ht="14.25" customFormat="1" customHeight="1" s="47"/>
    <row r="219" ht="14.25" customFormat="1" customHeight="1" s="47"/>
    <row r="220" ht="14.25" customFormat="1" customHeight="1" s="47"/>
    <row r="221" ht="14.25" customFormat="1" customHeight="1" s="47"/>
    <row r="222" ht="14.25" customFormat="1" customHeight="1" s="47"/>
    <row r="223" ht="14.25" customFormat="1" customHeight="1" s="47"/>
    <row r="224" ht="14.25" customFormat="1" customHeight="1" s="47"/>
    <row r="225" ht="14.25" customFormat="1" customHeight="1" s="47"/>
    <row r="226" ht="14.25" customFormat="1" customHeight="1" s="47"/>
    <row r="227" ht="14.25" customFormat="1" customHeight="1" s="47"/>
    <row r="228" ht="14.25" customFormat="1" customHeight="1" s="47"/>
    <row r="229" ht="14.25" customFormat="1" customHeight="1" s="47"/>
    <row r="230" ht="14.25" customFormat="1" customHeight="1" s="47"/>
    <row r="231" ht="14.25" customFormat="1" customHeight="1" s="47"/>
    <row r="232" ht="14.25" customFormat="1" customHeight="1" s="47"/>
    <row r="233" ht="14.25" customFormat="1" customHeight="1" s="47"/>
    <row r="234" ht="14.25" customFormat="1" customHeight="1" s="47"/>
    <row r="235" ht="14.25" customFormat="1" customHeight="1" s="47"/>
    <row r="236" ht="14.25" customFormat="1" customHeight="1" s="47"/>
    <row r="237" ht="14.25" customFormat="1" customHeight="1" s="47"/>
    <row r="238" ht="14.25" customFormat="1" customHeight="1" s="47"/>
    <row r="239" ht="14.25" customFormat="1" customHeight="1" s="47"/>
    <row r="240" ht="14.25" customFormat="1" customHeight="1" s="47"/>
    <row r="241" ht="14.25" customFormat="1" customHeight="1" s="47"/>
    <row r="242" ht="14.25" customFormat="1" customHeight="1" s="47"/>
    <row r="243" ht="14.25" customFormat="1" customHeight="1" s="47"/>
    <row r="244" ht="14.25" customFormat="1" customHeight="1" s="47"/>
    <row r="245" ht="14.25" customFormat="1" customHeight="1" s="47"/>
    <row r="246" ht="14.25" customFormat="1" customHeight="1" s="47"/>
    <row r="247" ht="14.25" customFormat="1" customHeight="1" s="47"/>
    <row r="248" ht="14.25" customFormat="1" customHeight="1" s="47"/>
    <row r="249" ht="14.25" customFormat="1" customHeight="1" s="47"/>
    <row r="250" ht="14.25" customFormat="1" customHeight="1" s="47"/>
    <row r="251" ht="14.25" customFormat="1" customHeight="1" s="47"/>
    <row r="252" ht="14.25" customFormat="1" customHeight="1" s="47"/>
    <row r="253" ht="14.25" customFormat="1" customHeight="1" s="47"/>
    <row r="254" ht="14.25" customFormat="1" customHeight="1" s="47"/>
    <row r="255" ht="14.25" customFormat="1" customHeight="1" s="47"/>
    <row r="256" ht="14.25" customFormat="1" customHeight="1" s="47"/>
    <row r="257" ht="14.25" customFormat="1" customHeight="1" s="47"/>
    <row r="258" ht="14.25" customFormat="1" customHeight="1" s="47"/>
    <row r="259" ht="14.25" customFormat="1" customHeight="1" s="47"/>
    <row r="260" ht="14.25" customFormat="1" customHeight="1" s="47"/>
    <row r="261" ht="14.25" customFormat="1" customHeight="1" s="47"/>
    <row r="262" ht="14.25" customFormat="1" customHeight="1" s="47"/>
    <row r="263" ht="14.25" customFormat="1" customHeight="1" s="47"/>
    <row r="264" ht="14.25" customFormat="1" customHeight="1" s="47"/>
    <row r="265" ht="14.25" customFormat="1" customHeight="1" s="47"/>
    <row r="266" ht="14.25" customFormat="1" customHeight="1" s="47"/>
    <row r="267" ht="14.25" customFormat="1" customHeight="1" s="47"/>
    <row r="268" ht="14.25" customFormat="1" customHeight="1" s="47"/>
    <row r="269" ht="14.25" customFormat="1" customHeight="1" s="47"/>
    <row r="270" ht="14.25" customFormat="1" customHeight="1" s="47"/>
    <row r="271" ht="14.25" customFormat="1" customHeight="1" s="47"/>
    <row r="272" ht="14.25" customFormat="1" customHeight="1" s="47"/>
    <row r="273" ht="14.25" customFormat="1" customHeight="1" s="47"/>
    <row r="274" ht="14.25" customFormat="1" customHeight="1" s="47"/>
    <row r="275" ht="14.25" customFormat="1" customHeight="1" s="47"/>
    <row r="276" ht="14.25" customFormat="1" customHeight="1" s="47"/>
    <row r="277" ht="14.25" customFormat="1" customHeight="1" s="47"/>
    <row r="278" ht="14.25" customFormat="1" customHeight="1" s="47"/>
    <row r="279" ht="14.25" customFormat="1" customHeight="1" s="47"/>
    <row r="280" ht="14.25" customFormat="1" customHeight="1" s="47"/>
    <row r="281" ht="14.25" customFormat="1" customHeight="1" s="47"/>
    <row r="282" ht="14.25" customFormat="1" customHeight="1" s="47"/>
    <row r="283" ht="14.25" customFormat="1" customHeight="1" s="47"/>
    <row r="284" ht="14.25" customFormat="1" customHeight="1" s="47"/>
    <row r="285" ht="14.25" customFormat="1" customHeight="1" s="47"/>
    <row r="286" ht="14.25" customFormat="1" customHeight="1" s="47"/>
    <row r="287" ht="14.25" customFormat="1" customHeight="1" s="47"/>
    <row r="288" ht="14.25" customFormat="1" customHeight="1" s="47"/>
    <row r="289" ht="14.25" customFormat="1" customHeight="1" s="47"/>
    <row r="290" ht="14.25" customFormat="1" customHeight="1" s="47"/>
    <row r="291" ht="14.25" customFormat="1" customHeight="1" s="47"/>
    <row r="292" ht="14.25" customFormat="1" customHeight="1" s="47"/>
    <row r="293" ht="14.25" customFormat="1" customHeight="1" s="47"/>
    <row r="294" ht="14.25" customFormat="1" customHeight="1" s="47"/>
    <row r="295" ht="14.25" customFormat="1" customHeight="1" s="47"/>
    <row r="296" ht="14.25" customFormat="1" customHeight="1" s="47"/>
    <row r="297" ht="14.25" customFormat="1" customHeight="1" s="47"/>
    <row r="298" ht="14.25" customFormat="1" customHeight="1" s="47"/>
    <row r="299" ht="14.25" customFormat="1" customHeight="1" s="47"/>
    <row r="300" ht="14.25" customFormat="1" customHeight="1" s="47"/>
    <row r="301" ht="14.25" customFormat="1" customHeight="1" s="47"/>
    <row r="302" ht="14.25" customFormat="1" customHeight="1" s="47"/>
    <row r="303" ht="14.25" customFormat="1" customHeight="1" s="47"/>
    <row r="304" ht="14.25" customFormat="1" customHeight="1" s="47"/>
    <row r="305" ht="14.25" customFormat="1" customHeight="1" s="47"/>
    <row r="306" ht="14.25" customFormat="1" customHeight="1" s="47"/>
    <row r="307" ht="14.25" customFormat="1" customHeight="1" s="47"/>
    <row r="308" ht="14.25" customFormat="1" customHeight="1" s="47"/>
    <row r="309" ht="14.25" customFormat="1" customHeight="1" s="47"/>
    <row r="310" ht="14.25" customFormat="1" customHeight="1" s="47"/>
    <row r="311" ht="14.25" customFormat="1" customHeight="1" s="47"/>
    <row r="312" ht="14.25" customFormat="1" customHeight="1" s="47"/>
    <row r="313" ht="14.25" customFormat="1" customHeight="1" s="47"/>
    <row r="314" ht="14.25" customFormat="1" customHeight="1" s="47"/>
    <row r="315" ht="14.25" customFormat="1" customHeight="1" s="47"/>
    <row r="316" ht="14.25" customFormat="1" customHeight="1" s="47"/>
    <row r="317" ht="14.25" customFormat="1" customHeight="1" s="47"/>
    <row r="318" ht="14.25" customFormat="1" customHeight="1" s="47"/>
    <row r="319" ht="14.25" customFormat="1" customHeight="1" s="47"/>
    <row r="320" ht="14.25" customFormat="1" customHeight="1" s="47"/>
    <row r="321" ht="14.25" customFormat="1" customHeight="1" s="47"/>
    <row r="322" ht="14.25" customFormat="1" customHeight="1" s="47"/>
    <row r="323" ht="14.25" customFormat="1" customHeight="1" s="47"/>
    <row r="324" ht="14.25" customFormat="1" customHeight="1" s="47"/>
    <row r="325" ht="14.25" customFormat="1" customHeight="1" s="47"/>
    <row r="326" ht="14.25" customFormat="1" customHeight="1" s="47"/>
    <row r="327" ht="14.25" customFormat="1" customHeight="1" s="47"/>
    <row r="328" ht="14.25" customFormat="1" customHeight="1" s="47"/>
    <row r="329" ht="14.25" customFormat="1" customHeight="1" s="47"/>
    <row r="330" ht="14.25" customFormat="1" customHeight="1" s="47"/>
    <row r="331" ht="14.25" customFormat="1" customHeight="1" s="47"/>
  </sheetData>
  <mergeCells count="37">
    <mergeCell ref="B11:D11"/>
    <mergeCell ref="B14:D14"/>
    <mergeCell ref="B23:D23"/>
    <mergeCell ref="A35:D35"/>
    <mergeCell ref="B8:D8"/>
    <mergeCell ref="A38:D38"/>
    <mergeCell ref="B17:D17"/>
    <mergeCell ref="B13:D13"/>
    <mergeCell ref="B29:D29"/>
    <mergeCell ref="B34:D34"/>
    <mergeCell ref="B10:D10"/>
    <mergeCell ref="B28:D28"/>
    <mergeCell ref="B19:D19"/>
    <mergeCell ref="A39:D39"/>
    <mergeCell ref="B9:D9"/>
    <mergeCell ref="B30:D30"/>
    <mergeCell ref="B15:D15"/>
    <mergeCell ref="B6:D6"/>
    <mergeCell ref="B24:D24"/>
    <mergeCell ref="B20:D20"/>
    <mergeCell ref="B5:D5"/>
    <mergeCell ref="B37:C37"/>
    <mergeCell ref="B32:D32"/>
    <mergeCell ref="B4:D4"/>
    <mergeCell ref="A40:C40"/>
    <mergeCell ref="B26:D26"/>
    <mergeCell ref="B7:D7"/>
    <mergeCell ref="B25:D25"/>
    <mergeCell ref="B16:D16"/>
    <mergeCell ref="B3:D3"/>
    <mergeCell ref="B31:D31"/>
    <mergeCell ref="B22:D22"/>
    <mergeCell ref="B18:D18"/>
    <mergeCell ref="B27:D27"/>
    <mergeCell ref="B36:C36"/>
    <mergeCell ref="B21:D21"/>
    <mergeCell ref="B12:D12"/>
  </mergeCells>
  <conditionalFormatting sqref="E4:O40">
    <cfRule type="expression" priority="1" dxfId="0">
      <formula>ISBLANK(E4)</formula>
    </cfRule>
  </conditionalFormatting>
  <pageMargins left="0.5118110236220472" right="0.5118110236220472" top="0.7874015748031497" bottom="0.7874015748031497" header="0.3149606299212598" footer="0.3149606299212598"/>
  <pageSetup orientation="landscape" paperSize="9" scale="69" horizontalDpi="300" verticalDpi="300"/>
  <headerFooter>
    <oddHeader>&amp;C&amp;"Arial,Negrito"&amp;12 DER-MG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F314"/>
  <sheetViews>
    <sheetView view="pageBreakPreview" zoomScale="85" zoomScaleNormal="100" zoomScaleSheetLayoutView="85" workbookViewId="0">
      <selection activeCell="E4" sqref="E4"/>
    </sheetView>
    <sheetView workbookViewId="1">
      <selection activeCell="A1" sqref="A1"/>
    </sheetView>
  </sheetViews>
  <sheetFormatPr baseColWidth="8" defaultColWidth="11.42578125" defaultRowHeight="12"/>
  <cols>
    <col width="4.85546875" bestFit="1" customWidth="1" style="59" min="1" max="1"/>
    <col width="19" customWidth="1" style="47" min="2" max="2"/>
    <col width="7" customWidth="1" style="47" min="3" max="3"/>
    <col width="10.42578125" customWidth="1" style="47" min="4" max="4"/>
    <col width="10.140625" customWidth="1" style="47" min="5" max="107"/>
    <col width="10.7109375" customWidth="1" style="47" min="108" max="115"/>
    <col width="9.5703125" customWidth="1" style="47" min="116" max="116"/>
    <col width="9.85546875" customWidth="1" style="47" min="117" max="117"/>
    <col width="9.140625" customWidth="1" style="47" min="118" max="118"/>
    <col width="9" customWidth="1" style="47" min="119" max="119"/>
    <col width="9.7109375" customWidth="1" style="47" min="120" max="120"/>
    <col width="10.28515625" customWidth="1" style="47" min="121" max="121"/>
    <col width="9.85546875" bestFit="1" customWidth="1" style="47" min="122" max="122"/>
    <col width="9" customWidth="1" style="47" min="123" max="123"/>
    <col width="9.85546875" bestFit="1" customWidth="1" style="47" min="124" max="124"/>
    <col width="9" customWidth="1" style="47" min="125" max="127"/>
    <col width="9.85546875" bestFit="1" customWidth="1" style="47" min="128" max="129"/>
    <col width="9.85546875" customWidth="1" style="47" min="130" max="130"/>
    <col width="11.7109375" customWidth="1" style="47" min="131" max="131"/>
    <col width="10.7109375" customWidth="1" style="47" min="132" max="132"/>
    <col width="10.140625" customWidth="1" style="47" min="133" max="133"/>
    <col width="9" customWidth="1" style="47" min="134" max="135"/>
    <col width="10.42578125" customWidth="1" style="47" min="136" max="136"/>
    <col width="11.42578125" customWidth="1" style="47" min="137" max="138"/>
    <col width="11.42578125" customWidth="1" style="47" min="139" max="16384"/>
  </cols>
  <sheetData>
    <row r="1" ht="18" customHeight="1" s="276">
      <c r="A1" s="43" t="inlineStr">
        <is>
          <t>N˚</t>
        </is>
      </c>
      <c r="B1" s="44" t="inlineStr">
        <is>
          <t>Receita</t>
        </is>
      </c>
      <c r="C1" s="45" t="n"/>
      <c r="D1" s="46" t="inlineStr">
        <is>
          <t>Até mai/26</t>
        </is>
      </c>
      <c r="E1" s="46" t="n">
        <v>46174</v>
      </c>
      <c r="F1" s="46" t="n">
        <v>46204</v>
      </c>
      <c r="G1" s="46" t="n">
        <v>46235</v>
      </c>
      <c r="H1" s="46" t="n">
        <v>46266</v>
      </c>
      <c r="I1" s="46" t="n">
        <v>46296</v>
      </c>
      <c r="J1" s="46" t="n">
        <v>46327</v>
      </c>
      <c r="K1" s="46" t="n">
        <v>46357</v>
      </c>
      <c r="L1" s="46" t="n">
        <v>46388</v>
      </c>
      <c r="M1" s="46" t="n">
        <v>46419</v>
      </c>
      <c r="N1" s="46" t="inlineStr">
        <is>
          <t>Totais</t>
        </is>
      </c>
    </row>
    <row r="2" ht="18" customHeight="1" s="276">
      <c r="A2" s="48" t="n">
        <v>1</v>
      </c>
      <c r="B2" s="49" t="inlineStr">
        <is>
          <t>Parcelas</t>
        </is>
      </c>
      <c r="C2" s="50" t="n"/>
      <c r="D2" s="346">
        <f>E28</f>
        <v/>
      </c>
      <c r="E2" s="347" t="n">
        <v>138912</v>
      </c>
      <c r="F2" s="347" t="n">
        <v>744659</v>
      </c>
      <c r="G2" s="347" t="n">
        <v>0</v>
      </c>
      <c r="H2" s="347" t="n">
        <v>183961</v>
      </c>
      <c r="I2" s="347" t="n">
        <v>0</v>
      </c>
      <c r="J2" s="347" t="n">
        <v>557874</v>
      </c>
      <c r="K2" s="347" t="n">
        <v>0</v>
      </c>
      <c r="L2" s="347" t="n">
        <v>373913</v>
      </c>
      <c r="M2" s="347">
        <f>103900.8+25975.2</f>
        <v/>
      </c>
      <c r="N2" s="348">
        <f>SUM(D2:M2)</f>
        <v/>
      </c>
    </row>
    <row r="3" ht="18" customHeight="1" s="276">
      <c r="A3" s="51" t="inlineStr">
        <is>
          <t>N˚</t>
        </is>
      </c>
      <c r="B3" s="284" t="inlineStr">
        <is>
          <t>Despesas</t>
        </is>
      </c>
      <c r="C3" s="257" t="n"/>
      <c r="D3" s="255" t="n"/>
      <c r="E3" s="52">
        <f>E1</f>
        <v/>
      </c>
      <c r="F3" s="52">
        <f>F1</f>
        <v/>
      </c>
      <c r="G3" s="52">
        <f>G1</f>
        <v/>
      </c>
      <c r="H3" s="52">
        <f>H1</f>
        <v/>
      </c>
      <c r="I3" s="52">
        <f>I1</f>
        <v/>
      </c>
      <c r="J3" s="52">
        <f>J1</f>
        <v/>
      </c>
      <c r="K3" s="52">
        <f>K1</f>
        <v/>
      </c>
      <c r="L3" s="52">
        <f>L1</f>
        <v/>
      </c>
      <c r="M3" s="52">
        <f>M1</f>
        <v/>
      </c>
      <c r="N3" s="53" t="inlineStr">
        <is>
          <t>Totais</t>
        </is>
      </c>
    </row>
    <row r="4" ht="18" customFormat="1" customHeight="1" s="54">
      <c r="A4" s="48" t="n">
        <v>1</v>
      </c>
      <c r="B4" s="280" t="inlineStr">
        <is>
          <t>Equipe a Contratar</t>
        </is>
      </c>
      <c r="C4" s="257" t="n"/>
      <c r="D4" s="255" t="n"/>
      <c r="E4" s="349" t="n">
        <v>3000</v>
      </c>
      <c r="F4" s="349" t="n">
        <v>12000</v>
      </c>
      <c r="G4" s="349">
        <f>F4</f>
        <v/>
      </c>
      <c r="H4" s="349">
        <f>G4</f>
        <v/>
      </c>
      <c r="I4" s="349">
        <f>H4</f>
        <v/>
      </c>
      <c r="J4" s="349">
        <f>I4</f>
        <v/>
      </c>
      <c r="K4" s="349">
        <f>J4</f>
        <v/>
      </c>
      <c r="L4" s="349">
        <f>K4</f>
        <v/>
      </c>
      <c r="M4" s="349">
        <f>L4</f>
        <v/>
      </c>
      <c r="N4" s="350">
        <f>SUM(E4:M4)</f>
        <v/>
      </c>
    </row>
    <row r="5" ht="18" customFormat="1" customHeight="1" s="54">
      <c r="A5" s="48">
        <f>A4+1</f>
        <v/>
      </c>
      <c r="B5" s="280" t="inlineStr">
        <is>
          <t>Equipe a Contratar</t>
        </is>
      </c>
      <c r="C5" s="257" t="n"/>
      <c r="D5" s="255" t="n"/>
      <c r="E5" s="349">
        <f>E4</f>
        <v/>
      </c>
      <c r="F5" s="349">
        <f>F4</f>
        <v/>
      </c>
      <c r="G5" s="349">
        <f>G4</f>
        <v/>
      </c>
      <c r="H5" s="349">
        <f>H4</f>
        <v/>
      </c>
      <c r="I5" s="349">
        <f>I4</f>
        <v/>
      </c>
      <c r="J5" s="349">
        <f>J4</f>
        <v/>
      </c>
      <c r="K5" s="349">
        <f>K4</f>
        <v/>
      </c>
      <c r="L5" s="349">
        <f>L4</f>
        <v/>
      </c>
      <c r="M5" s="349">
        <f>M4</f>
        <v/>
      </c>
      <c r="N5" s="350">
        <f>SUM(E5:M5)</f>
        <v/>
      </c>
    </row>
    <row r="6" ht="18" customFormat="1" customHeight="1" s="54">
      <c r="A6" s="48">
        <f>A5+1</f>
        <v/>
      </c>
      <c r="B6" s="280" t="inlineStr">
        <is>
          <t>Equipe a Contratar</t>
        </is>
      </c>
      <c r="C6" s="257" t="n"/>
      <c r="D6" s="255" t="n"/>
      <c r="E6" s="349">
        <f>E5</f>
        <v/>
      </c>
      <c r="F6" s="349">
        <f>F5</f>
        <v/>
      </c>
      <c r="G6" s="349">
        <f>G5</f>
        <v/>
      </c>
      <c r="H6" s="349">
        <f>H5</f>
        <v/>
      </c>
      <c r="I6" s="349">
        <f>I5</f>
        <v/>
      </c>
      <c r="J6" s="349">
        <f>J5</f>
        <v/>
      </c>
      <c r="K6" s="349">
        <f>K5</f>
        <v/>
      </c>
      <c r="L6" s="349">
        <f>L5</f>
        <v/>
      </c>
      <c r="M6" s="349">
        <f>M5</f>
        <v/>
      </c>
      <c r="N6" s="350">
        <f>SUM(E6:M6)</f>
        <v/>
      </c>
    </row>
    <row r="7" ht="18" customFormat="1" customHeight="1" s="54">
      <c r="A7" s="48">
        <f>A6+1</f>
        <v/>
      </c>
      <c r="B7" s="280" t="inlineStr">
        <is>
          <t>Equipe a Contratar</t>
        </is>
      </c>
      <c r="C7" s="257" t="n"/>
      <c r="D7" s="255" t="n"/>
      <c r="E7" s="349">
        <f>E6</f>
        <v/>
      </c>
      <c r="F7" s="349">
        <f>F6</f>
        <v/>
      </c>
      <c r="G7" s="349">
        <f>G6</f>
        <v/>
      </c>
      <c r="H7" s="349">
        <f>H6</f>
        <v/>
      </c>
      <c r="I7" s="349">
        <f>I6</f>
        <v/>
      </c>
      <c r="J7" s="349">
        <f>J6</f>
        <v/>
      </c>
      <c r="K7" s="349">
        <f>K6</f>
        <v/>
      </c>
      <c r="L7" s="349">
        <f>L6</f>
        <v/>
      </c>
      <c r="M7" s="349">
        <f>M6</f>
        <v/>
      </c>
      <c r="N7" s="350">
        <f>SUM(E7:M7)</f>
        <v/>
      </c>
    </row>
    <row r="8" ht="18" customFormat="1" customHeight="1" s="54">
      <c r="A8" s="48">
        <f>A7+1</f>
        <v/>
      </c>
      <c r="B8" s="280" t="inlineStr">
        <is>
          <t>Equipe a Contratar</t>
        </is>
      </c>
      <c r="C8" s="257" t="n"/>
      <c r="D8" s="255" t="n"/>
      <c r="E8" s="349">
        <f>E7</f>
        <v/>
      </c>
      <c r="F8" s="349">
        <f>F7</f>
        <v/>
      </c>
      <c r="G8" s="349">
        <f>G7</f>
        <v/>
      </c>
      <c r="H8" s="349">
        <f>H7</f>
        <v/>
      </c>
      <c r="I8" s="349">
        <f>I7</f>
        <v/>
      </c>
      <c r="J8" s="349">
        <f>J7</f>
        <v/>
      </c>
      <c r="K8" s="349">
        <f>K7</f>
        <v/>
      </c>
      <c r="L8" s="349">
        <f>L7</f>
        <v/>
      </c>
      <c r="M8" s="349">
        <f>M7</f>
        <v/>
      </c>
      <c r="N8" s="350">
        <f>SUM(E8:M8)</f>
        <v/>
      </c>
    </row>
    <row r="9" ht="18" customFormat="1" customHeight="1" s="54">
      <c r="A9" s="48">
        <f>A8+1</f>
        <v/>
      </c>
      <c r="B9" s="280" t="inlineStr">
        <is>
          <t>Equipe a Contratar</t>
        </is>
      </c>
      <c r="C9" s="257" t="n"/>
      <c r="D9" s="255" t="n"/>
      <c r="E9" s="349">
        <f>E8</f>
        <v/>
      </c>
      <c r="F9" s="349">
        <f>F8</f>
        <v/>
      </c>
      <c r="G9" s="349">
        <f>G8</f>
        <v/>
      </c>
      <c r="H9" s="349">
        <f>H8</f>
        <v/>
      </c>
      <c r="I9" s="349">
        <f>I8</f>
        <v/>
      </c>
      <c r="J9" s="349">
        <f>J8</f>
        <v/>
      </c>
      <c r="K9" s="349">
        <f>K8</f>
        <v/>
      </c>
      <c r="L9" s="349">
        <f>L8</f>
        <v/>
      </c>
      <c r="M9" s="349">
        <f>M8</f>
        <v/>
      </c>
      <c r="N9" s="350">
        <f>SUM(E9:M9)</f>
        <v/>
      </c>
    </row>
    <row r="10" ht="18" customFormat="1" customHeight="1" s="54">
      <c r="A10" s="48">
        <f>A9+1</f>
        <v/>
      </c>
      <c r="B10" s="280" t="inlineStr">
        <is>
          <t>Equipe a Contratar</t>
        </is>
      </c>
      <c r="C10" s="257" t="n"/>
      <c r="D10" s="255" t="n"/>
      <c r="E10" s="349">
        <f>E9</f>
        <v/>
      </c>
      <c r="F10" s="349">
        <f>F9</f>
        <v/>
      </c>
      <c r="G10" s="349">
        <f>G9</f>
        <v/>
      </c>
      <c r="H10" s="349">
        <f>H9</f>
        <v/>
      </c>
      <c r="I10" s="349">
        <f>I9</f>
        <v/>
      </c>
      <c r="J10" s="349">
        <f>J9</f>
        <v/>
      </c>
      <c r="K10" s="349">
        <f>K9</f>
        <v/>
      </c>
      <c r="L10" s="349">
        <f>L9</f>
        <v/>
      </c>
      <c r="M10" s="349">
        <f>M9</f>
        <v/>
      </c>
      <c r="N10" s="350">
        <f>SUM(E10:M10)</f>
        <v/>
      </c>
    </row>
    <row r="11" ht="18" customFormat="1" customHeight="1" s="54">
      <c r="A11" s="48">
        <f>A10+1</f>
        <v/>
      </c>
      <c r="B11" s="280" t="inlineStr">
        <is>
          <t>Encargos s/pessoal contratado</t>
        </is>
      </c>
      <c r="C11" s="257" t="n"/>
      <c r="D11" s="255" t="n"/>
      <c r="E11" s="349">
        <f>SUM(E4:E10)*0.85</f>
        <v/>
      </c>
      <c r="F11" s="349">
        <f>SUM(F4:F10)*0.85</f>
        <v/>
      </c>
      <c r="G11" s="349">
        <f>SUM(G4:G10)*0.85</f>
        <v/>
      </c>
      <c r="H11" s="349">
        <f>SUM(H4:H10)*0.85</f>
        <v/>
      </c>
      <c r="I11" s="349">
        <f>SUM(I4:I10)*0.85</f>
        <v/>
      </c>
      <c r="J11" s="349">
        <f>SUM(J4:J10)*0.85</f>
        <v/>
      </c>
      <c r="K11" s="349">
        <f>SUM(K4:K10)*0.85</f>
        <v/>
      </c>
      <c r="L11" s="349">
        <f>SUM(L4:L10)*0.85</f>
        <v/>
      </c>
      <c r="M11" s="349">
        <f>SUM(M4:M10)*0.85</f>
        <v/>
      </c>
      <c r="N11" s="350">
        <f>SUM(E11:M11)</f>
        <v/>
      </c>
    </row>
    <row r="12" ht="18" customFormat="1" customHeight="1" s="54">
      <c r="A12" s="48">
        <f>A11+1</f>
        <v/>
      </c>
      <c r="B12" s="280" t="inlineStr">
        <is>
          <t>Bolsistas</t>
        </is>
      </c>
      <c r="C12" s="257" t="n"/>
      <c r="D12" s="255" t="n"/>
      <c r="E12" s="349" t="n">
        <v>10000</v>
      </c>
      <c r="F12" s="349" t="n">
        <v>10000</v>
      </c>
      <c r="G12" s="349" t="n">
        <v>10000</v>
      </c>
      <c r="H12" s="349" t="n">
        <v>10000</v>
      </c>
      <c r="I12" s="349" t="n">
        <v>10000</v>
      </c>
      <c r="J12" s="349" t="n">
        <v>10000</v>
      </c>
      <c r="K12" s="349" t="n">
        <v>10000</v>
      </c>
      <c r="L12" s="349" t="n">
        <v>10000</v>
      </c>
      <c r="M12" s="349" t="n">
        <v>10000</v>
      </c>
      <c r="N12" s="350">
        <f>SUM(E12:M12)</f>
        <v/>
      </c>
    </row>
    <row r="13" ht="18" customFormat="1" customHeight="1" s="54">
      <c r="A13" s="48">
        <f>A12+1</f>
        <v/>
      </c>
      <c r="B13" s="280" t="inlineStr">
        <is>
          <t>Bolsistas</t>
        </is>
      </c>
      <c r="C13" s="257" t="n"/>
      <c r="D13" s="255" t="n"/>
      <c r="E13" s="349" t="n">
        <v>10000</v>
      </c>
      <c r="F13" s="349" t="n">
        <v>10000</v>
      </c>
      <c r="G13" s="349" t="n">
        <v>10000</v>
      </c>
      <c r="H13" s="349" t="n">
        <v>10000</v>
      </c>
      <c r="I13" s="349" t="n">
        <v>10000</v>
      </c>
      <c r="J13" s="349" t="n">
        <v>10000</v>
      </c>
      <c r="K13" s="349" t="n">
        <v>10000</v>
      </c>
      <c r="L13" s="349" t="n">
        <v>10000</v>
      </c>
      <c r="M13" s="349" t="n">
        <v>10000</v>
      </c>
      <c r="N13" s="350">
        <f>SUM(E13:M13)</f>
        <v/>
      </c>
    </row>
    <row r="14" ht="18" customFormat="1" customHeight="1" s="54">
      <c r="A14" s="48">
        <f>A13+1</f>
        <v/>
      </c>
      <c r="B14" s="254" t="inlineStr">
        <is>
          <t>Serviços de Terceiros</t>
        </is>
      </c>
      <c r="C14" s="257" t="n"/>
      <c r="D14" s="255" t="n"/>
      <c r="E14" s="349" t="n">
        <v>2500</v>
      </c>
      <c r="F14" s="349" t="n">
        <v>2500</v>
      </c>
      <c r="G14" s="349" t="n">
        <v>2500</v>
      </c>
      <c r="H14" s="349" t="n">
        <v>2500</v>
      </c>
      <c r="I14" s="349" t="n">
        <v>2500</v>
      </c>
      <c r="J14" s="349" t="n">
        <v>2500</v>
      </c>
      <c r="K14" s="349" t="n">
        <v>2500</v>
      </c>
      <c r="L14" s="349" t="n">
        <v>2500</v>
      </c>
      <c r="M14" s="349" t="n">
        <v>2500</v>
      </c>
      <c r="N14" s="350">
        <f>SUM(E14:M14)</f>
        <v/>
      </c>
    </row>
    <row r="15" ht="18" customFormat="1" customHeight="1" s="54">
      <c r="A15" s="48">
        <f>A14+1</f>
        <v/>
      </c>
      <c r="B15" s="254" t="inlineStr">
        <is>
          <t>Passagens</t>
        </is>
      </c>
      <c r="C15" s="257" t="n"/>
      <c r="D15" s="255" t="n"/>
      <c r="E15" s="349" t="n">
        <v>6500</v>
      </c>
      <c r="F15" s="349" t="n">
        <v>6500</v>
      </c>
      <c r="G15" s="349" t="n">
        <v>6500</v>
      </c>
      <c r="H15" s="349" t="n">
        <v>6500</v>
      </c>
      <c r="I15" s="349" t="n">
        <v>6500</v>
      </c>
      <c r="J15" s="349" t="n">
        <v>6500</v>
      </c>
      <c r="K15" s="349" t="n">
        <v>6500</v>
      </c>
      <c r="L15" s="349" t="n">
        <v>6500</v>
      </c>
      <c r="M15" s="349" t="n">
        <v>6500</v>
      </c>
      <c r="N15" s="350">
        <f>SUM(E15:M15)</f>
        <v/>
      </c>
    </row>
    <row r="16" ht="18" customFormat="1" customHeight="1" s="54">
      <c r="A16" s="48">
        <f>A15+1</f>
        <v/>
      </c>
      <c r="B16" s="86" t="inlineStr">
        <is>
          <t>Diárias</t>
        </is>
      </c>
      <c r="C16" s="87" t="n"/>
      <c r="D16" s="88" t="n"/>
      <c r="E16" s="349" t="n">
        <v>3500</v>
      </c>
      <c r="F16" s="349" t="n">
        <v>3500</v>
      </c>
      <c r="G16" s="349" t="n">
        <v>3500</v>
      </c>
      <c r="H16" s="349" t="n">
        <v>3500</v>
      </c>
      <c r="I16" s="349" t="n">
        <v>3500</v>
      </c>
      <c r="J16" s="349" t="n">
        <v>3500</v>
      </c>
      <c r="K16" s="349" t="n">
        <v>3500</v>
      </c>
      <c r="L16" s="349" t="n">
        <v>3500</v>
      </c>
      <c r="M16" s="349" t="n">
        <v>3500</v>
      </c>
      <c r="N16" s="350">
        <f>SUM(E16:M16)</f>
        <v/>
      </c>
    </row>
    <row r="17" ht="18" customFormat="1" customHeight="1" s="54">
      <c r="A17" s="48">
        <f>A16+1</f>
        <v/>
      </c>
      <c r="B17" s="280" t="inlineStr">
        <is>
          <t>Materrial de Consumo</t>
        </is>
      </c>
      <c r="C17" s="257" t="n"/>
      <c r="D17" s="255" t="n"/>
      <c r="E17" s="349" t="n">
        <v>1000</v>
      </c>
      <c r="F17" s="349" t="n">
        <v>1000</v>
      </c>
      <c r="G17" s="349" t="n">
        <v>1000</v>
      </c>
      <c r="H17" s="349" t="n">
        <v>1000</v>
      </c>
      <c r="I17" s="349" t="n">
        <v>1000</v>
      </c>
      <c r="J17" s="349" t="n">
        <v>1000</v>
      </c>
      <c r="K17" s="349" t="n">
        <v>1000</v>
      </c>
      <c r="L17" s="349" t="n">
        <v>1000</v>
      </c>
      <c r="M17" s="349" t="n">
        <v>1000</v>
      </c>
      <c r="N17" s="350">
        <f>SUM(E17:M17)</f>
        <v/>
      </c>
    </row>
    <row r="18" ht="18" customHeight="1" s="276">
      <c r="A18" s="282" t="n"/>
      <c r="B18" s="257" t="n"/>
      <c r="C18" s="257" t="n"/>
      <c r="D18" s="255" t="n"/>
      <c r="E18" s="353">
        <f>SUM(E4:E17)</f>
        <v/>
      </c>
      <c r="F18" s="353">
        <f>SUM(F4:F17)</f>
        <v/>
      </c>
      <c r="G18" s="353">
        <f>SUM(G4:G17)</f>
        <v/>
      </c>
      <c r="H18" s="353">
        <f>SUM(H4:H17)</f>
        <v/>
      </c>
      <c r="I18" s="353">
        <f>SUM(I4:I17)</f>
        <v/>
      </c>
      <c r="J18" s="353">
        <f>SUM(J4:J17)</f>
        <v/>
      </c>
      <c r="K18" s="353">
        <f>SUM(K4:K17)</f>
        <v/>
      </c>
      <c r="L18" s="353">
        <f>SUM(L4:L17)</f>
        <v/>
      </c>
      <c r="M18" s="353">
        <f>SUM(M4:M17)</f>
        <v/>
      </c>
      <c r="N18" s="353">
        <f>SUM(E18:M18)</f>
        <v/>
      </c>
    </row>
    <row r="19" ht="18" customHeight="1" s="276">
      <c r="A19" s="55">
        <f>A17+1</f>
        <v/>
      </c>
      <c r="B19" s="280" t="inlineStr">
        <is>
          <t>Fundação de Apoio</t>
        </is>
      </c>
      <c r="C19" s="255" t="n"/>
      <c r="D19" s="56" t="n">
        <v>0.0825</v>
      </c>
      <c r="E19" s="351">
        <f>E2*$D$19</f>
        <v/>
      </c>
      <c r="F19" s="351">
        <f>F2*$D$19</f>
        <v/>
      </c>
      <c r="G19" s="351">
        <f>G2*$D$19</f>
        <v/>
      </c>
      <c r="H19" s="351">
        <f>H2*$D$19</f>
        <v/>
      </c>
      <c r="I19" s="351">
        <f>I2*$D$19</f>
        <v/>
      </c>
      <c r="J19" s="351">
        <f>J2*$D$19</f>
        <v/>
      </c>
      <c r="K19" s="351">
        <f>K2*$D$19</f>
        <v/>
      </c>
      <c r="L19" s="351">
        <f>L2*$D$19</f>
        <v/>
      </c>
      <c r="M19" s="351">
        <f>M2*$D$19</f>
        <v/>
      </c>
      <c r="N19" s="354">
        <f>SUM(E19:M19)</f>
        <v/>
      </c>
    </row>
    <row r="20" ht="18" customHeight="1" s="276">
      <c r="A20" s="55">
        <f>A19+1</f>
        <v/>
      </c>
      <c r="B20" s="280" t="inlineStr">
        <is>
          <t>Universidade Federal</t>
        </is>
      </c>
      <c r="C20" s="255" t="n"/>
      <c r="D20" s="56" t="n">
        <v>0.07000000000000001</v>
      </c>
      <c r="E20" s="351">
        <f>E2*$D$20</f>
        <v/>
      </c>
      <c r="F20" s="351">
        <f>F2*$D$20</f>
        <v/>
      </c>
      <c r="G20" s="351">
        <f>G2*$D$20</f>
        <v/>
      </c>
      <c r="H20" s="351">
        <f>H2*$D$20</f>
        <v/>
      </c>
      <c r="I20" s="351">
        <f>I2*$D$20</f>
        <v/>
      </c>
      <c r="J20" s="351">
        <f>J2*$D$20</f>
        <v/>
      </c>
      <c r="K20" s="351">
        <f>K2*$D$20</f>
        <v/>
      </c>
      <c r="L20" s="351">
        <f>L2*$D$20</f>
        <v/>
      </c>
      <c r="M20" s="351">
        <f>M2*$D$20</f>
        <v/>
      </c>
      <c r="N20" s="354">
        <f>SUM(E20:M20)</f>
        <v/>
      </c>
    </row>
    <row r="21" ht="18" customHeight="1" s="276">
      <c r="A21" s="282" t="inlineStr">
        <is>
          <t>subtotal2</t>
        </is>
      </c>
      <c r="B21" s="257" t="n"/>
      <c r="C21" s="257" t="n"/>
      <c r="D21" s="255" t="n"/>
      <c r="E21" s="353">
        <f>SUM(E19:E20)</f>
        <v/>
      </c>
      <c r="F21" s="353">
        <f>SUM(F19:F20)</f>
        <v/>
      </c>
      <c r="G21" s="353">
        <f>SUM(G19:G20)</f>
        <v/>
      </c>
      <c r="H21" s="353">
        <f>SUM(H19:H20)</f>
        <v/>
      </c>
      <c r="I21" s="353">
        <f>SUM(I19:I20)</f>
        <v/>
      </c>
      <c r="J21" s="353">
        <f>SUM(J19:J20)</f>
        <v/>
      </c>
      <c r="K21" s="353">
        <f>SUM(K19:K20)</f>
        <v/>
      </c>
      <c r="L21" s="353">
        <f>SUM(L19:L20)</f>
        <v/>
      </c>
      <c r="M21" s="353">
        <f>SUM(M19:M20)</f>
        <v/>
      </c>
      <c r="N21" s="353">
        <f>SUM(N19:N20)</f>
        <v/>
      </c>
    </row>
    <row r="22" ht="18" customHeight="1" s="276">
      <c r="A22" s="285" t="inlineStr">
        <is>
          <t>Total Despesas</t>
        </is>
      </c>
      <c r="B22" s="257" t="n"/>
      <c r="C22" s="257" t="n"/>
      <c r="D22" s="255" t="n"/>
      <c r="E22" s="355">
        <f>E21+E18</f>
        <v/>
      </c>
      <c r="F22" s="355">
        <f>F21+F18</f>
        <v/>
      </c>
      <c r="G22" s="355">
        <f>G21+G18</f>
        <v/>
      </c>
      <c r="H22" s="355">
        <f>H21+H18</f>
        <v/>
      </c>
      <c r="I22" s="355">
        <f>I21+I18</f>
        <v/>
      </c>
      <c r="J22" s="355">
        <f>J21+J18</f>
        <v/>
      </c>
      <c r="K22" s="355">
        <f>K21+K18</f>
        <v/>
      </c>
      <c r="L22" s="355">
        <f>L21+L18</f>
        <v/>
      </c>
      <c r="M22" s="355">
        <f>M21+M18</f>
        <v/>
      </c>
      <c r="N22" s="355">
        <f>N21+N18</f>
        <v/>
      </c>
    </row>
    <row r="23" ht="18" customHeight="1" s="276">
      <c r="A23" s="356" t="inlineStr">
        <is>
          <t>Saldos</t>
        </is>
      </c>
      <c r="B23" s="257" t="n"/>
      <c r="C23" s="255" t="n"/>
      <c r="D23" s="57">
        <f>H28</f>
        <v/>
      </c>
      <c r="E23" s="57">
        <f>D23+E2-E22</f>
        <v/>
      </c>
      <c r="F23" s="57">
        <f>E23+F2-F22</f>
        <v/>
      </c>
      <c r="G23" s="57">
        <f>F23+G2-G22</f>
        <v/>
      </c>
      <c r="H23" s="57">
        <f>G23+H2-H22</f>
        <v/>
      </c>
      <c r="I23" s="57">
        <f>H23+I2-I22</f>
        <v/>
      </c>
      <c r="J23" s="57">
        <f>I23+J2-J22</f>
        <v/>
      </c>
      <c r="K23" s="57">
        <f>J23+K2-K22</f>
        <v/>
      </c>
      <c r="L23" s="57">
        <f>K23+L2-L22</f>
        <v/>
      </c>
      <c r="M23" s="57">
        <f>L23+M2-M22</f>
        <v/>
      </c>
      <c r="N23" s="58">
        <f>D23+N2-D2-N22</f>
        <v/>
      </c>
    </row>
    <row r="24" ht="13.35" customHeight="1" s="276">
      <c r="B24" s="60" t="n"/>
      <c r="C24" s="357" t="n"/>
      <c r="D24" s="357" t="n"/>
      <c r="E24" s="368" t="n"/>
      <c r="F24" s="368" t="n"/>
      <c r="G24" s="368" t="n"/>
      <c r="H24" s="368" t="n"/>
      <c r="I24" s="368" t="n"/>
      <c r="J24" s="368" t="n"/>
      <c r="K24" s="368" t="n"/>
      <c r="L24" s="368" t="n"/>
      <c r="M24" s="368" t="n"/>
      <c r="N24" s="368" t="n"/>
      <c r="O24" s="368" t="n"/>
      <c r="P24" s="368" t="n"/>
      <c r="Q24" s="368" t="n"/>
      <c r="R24" s="368" t="n"/>
      <c r="S24" s="368" t="n"/>
      <c r="T24" s="368" t="n"/>
      <c r="U24" s="368" t="n"/>
      <c r="V24" s="368" t="n"/>
      <c r="W24" s="368" t="n"/>
      <c r="X24" s="368" t="n"/>
      <c r="Y24" s="368" t="n"/>
      <c r="Z24" s="368" t="n"/>
      <c r="AA24" s="368" t="n"/>
      <c r="AB24" s="368" t="n"/>
      <c r="AC24" s="368" t="n"/>
      <c r="AD24" s="368" t="n"/>
      <c r="AE24" s="368" t="n"/>
      <c r="AF24" s="368" t="n"/>
      <c r="AG24" s="368" t="n"/>
      <c r="AH24" s="368" t="n"/>
      <c r="AI24" s="368" t="n"/>
      <c r="AJ24" s="368" t="n"/>
      <c r="AK24" s="368" t="n"/>
      <c r="AL24" s="368" t="n"/>
      <c r="AM24" s="368" t="n"/>
      <c r="AN24" s="368" t="n"/>
      <c r="AO24" s="368" t="n"/>
      <c r="AP24" s="368" t="n"/>
      <c r="AQ24" s="368" t="n"/>
      <c r="AR24" s="368" t="n"/>
      <c r="AS24" s="368" t="n"/>
      <c r="AT24" s="368" t="n"/>
      <c r="AU24" s="368" t="n"/>
      <c r="AV24" s="368" t="n"/>
      <c r="AW24" s="368" t="n"/>
      <c r="AX24" s="368" t="n"/>
      <c r="AY24" s="358" t="n"/>
      <c r="AZ24" s="358" t="n"/>
      <c r="BA24" s="358" t="n"/>
      <c r="BB24" s="358" t="n"/>
      <c r="BC24" s="358" t="n"/>
      <c r="BD24" s="358" t="n"/>
      <c r="BE24" s="358" t="n"/>
      <c r="BF24" s="358" t="n"/>
      <c r="BG24" s="358" t="n"/>
      <c r="BH24" s="358" t="n"/>
      <c r="BI24" s="358" t="n"/>
      <c r="BJ24" s="358" t="n"/>
      <c r="BK24" s="358" t="n"/>
      <c r="BL24" s="358" t="n"/>
      <c r="BM24" s="358" t="n"/>
      <c r="BN24" s="358" t="n"/>
      <c r="BO24" s="358" t="n"/>
      <c r="BP24" s="358" t="n"/>
      <c r="BQ24" s="358" t="n"/>
      <c r="BR24" s="358" t="n"/>
      <c r="BS24" s="358" t="n"/>
      <c r="BT24" s="358" t="n"/>
      <c r="BU24" s="358" t="n"/>
      <c r="BV24" s="358" t="n"/>
      <c r="BW24" s="358" t="n"/>
      <c r="BX24" s="358" t="n"/>
      <c r="BY24" s="358" t="n"/>
      <c r="BZ24" s="358" t="n"/>
      <c r="CA24" s="358" t="n"/>
      <c r="CB24" s="358" t="n"/>
      <c r="CC24" s="358" t="n"/>
      <c r="CD24" s="358" t="n"/>
      <c r="CE24" s="358" t="n"/>
      <c r="CF24" s="358" t="n"/>
      <c r="CG24" s="358" t="n"/>
      <c r="CH24" s="358" t="n"/>
      <c r="CI24" s="358" t="n"/>
      <c r="CJ24" s="358" t="n"/>
      <c r="CK24" s="358" t="n"/>
      <c r="CL24" s="358" t="n"/>
      <c r="CM24" s="358" t="n"/>
      <c r="CN24" s="358" t="n"/>
      <c r="CO24" s="358" t="n"/>
      <c r="CP24" s="358" t="n"/>
      <c r="CQ24" s="358" t="n"/>
      <c r="CR24" s="358" t="n"/>
      <c r="CS24" s="358" t="n"/>
      <c r="CT24" s="358" t="n"/>
      <c r="CU24" s="358" t="n"/>
      <c r="CV24" s="358" t="n"/>
      <c r="CW24" s="358" t="n"/>
      <c r="CX24" s="358" t="n"/>
      <c r="CY24" s="358" t="n"/>
      <c r="CZ24" s="358" t="n"/>
      <c r="DA24" s="358" t="n"/>
      <c r="DB24" s="358" t="n"/>
      <c r="DC24" s="358" t="n"/>
      <c r="DD24" s="358" t="n"/>
      <c r="DE24" s="358" t="n"/>
      <c r="DF24" s="358" t="n"/>
      <c r="DG24" s="358" t="n"/>
      <c r="DH24" s="359" t="n"/>
    </row>
    <row r="25" ht="13.35" customHeight="1" s="276">
      <c r="A25" s="61" t="inlineStr">
        <is>
          <t>N˚</t>
        </is>
      </c>
      <c r="B25" s="62" t="inlineStr">
        <is>
          <t>Rubricas</t>
        </is>
      </c>
      <c r="C25" s="61" t="inlineStr">
        <is>
          <t>Perc.</t>
        </is>
      </c>
      <c r="D25" s="61" t="inlineStr">
        <is>
          <t>Previsto</t>
        </is>
      </c>
      <c r="E25" s="61" t="inlineStr">
        <is>
          <t>Recebido</t>
        </is>
      </c>
      <c r="F25" s="61" t="inlineStr">
        <is>
          <t>A Receber</t>
        </is>
      </c>
      <c r="G25" s="61" t="inlineStr">
        <is>
          <t>Gasto</t>
        </is>
      </c>
      <c r="H25" s="61" t="inlineStr">
        <is>
          <t>Saldo</t>
        </is>
      </c>
      <c r="I25" s="360" t="inlineStr">
        <is>
          <t>A gastar</t>
        </is>
      </c>
      <c r="J25" s="361" t="inlineStr">
        <is>
          <t>Result.</t>
        </is>
      </c>
      <c r="K25" s="363" t="n"/>
      <c r="L25" s="83" t="inlineStr">
        <is>
          <t>Inicio</t>
        </is>
      </c>
      <c r="M25" s="369" t="n">
        <v>46135</v>
      </c>
      <c r="N25" s="363" t="n"/>
      <c r="O25" s="363" t="n"/>
      <c r="P25" s="363" t="n"/>
      <c r="Q25" s="363" t="n"/>
      <c r="R25" s="363" t="n"/>
      <c r="S25" s="363" t="n"/>
      <c r="T25" s="363" t="n"/>
      <c r="U25" s="363" t="n"/>
      <c r="V25" s="363" t="n"/>
      <c r="W25" s="363" t="n"/>
      <c r="X25" s="363" t="n"/>
      <c r="Y25" s="363" t="n"/>
      <c r="Z25" s="363" t="n"/>
      <c r="AA25" s="363" t="n"/>
      <c r="AB25" s="363" t="n"/>
      <c r="AC25" s="363" t="n"/>
      <c r="AD25" s="363" t="n"/>
      <c r="AE25" s="363" t="n"/>
      <c r="AF25" s="363" t="n"/>
      <c r="AG25" s="363" t="n"/>
      <c r="AH25" s="363" t="n"/>
      <c r="AI25" s="363" t="n"/>
      <c r="AJ25" s="363" t="n"/>
      <c r="AK25" s="363" t="n"/>
      <c r="AL25" s="363" t="n"/>
      <c r="AM25" s="363" t="n"/>
      <c r="AN25" s="363" t="n"/>
      <c r="AO25" s="363" t="n"/>
      <c r="AP25" s="363" t="n"/>
      <c r="AQ25" s="363" t="n"/>
      <c r="AR25" s="363" t="n"/>
      <c r="AS25" s="363" t="n"/>
      <c r="AT25" s="363" t="n"/>
      <c r="AU25" s="363" t="n"/>
      <c r="AV25" s="363" t="n"/>
      <c r="AW25" s="363" t="n"/>
      <c r="AX25" s="363" t="n"/>
      <c r="AY25" s="363" t="n"/>
      <c r="AZ25" s="363" t="n"/>
      <c r="BA25" s="363" t="n"/>
      <c r="BB25" s="363" t="n"/>
      <c r="BC25" s="363" t="n"/>
      <c r="BD25" s="363" t="n"/>
      <c r="BE25" s="363" t="n"/>
      <c r="BF25" s="363" t="n"/>
      <c r="BG25" s="363" t="n"/>
      <c r="BH25" s="363" t="n"/>
      <c r="BI25" s="363" t="n"/>
      <c r="BJ25" s="363" t="n"/>
      <c r="BK25" s="363" t="n"/>
      <c r="BL25" s="363" t="n"/>
      <c r="BM25" s="363" t="n"/>
      <c r="BN25" s="363" t="n"/>
      <c r="BO25" s="363" t="n"/>
      <c r="BP25" s="363" t="n"/>
      <c r="BQ25" s="363" t="n"/>
      <c r="BR25" s="363" t="n"/>
      <c r="BS25" s="363" t="n"/>
      <c r="BT25" s="363" t="n"/>
      <c r="BU25" s="363" t="n"/>
      <c r="BV25" s="363" t="n"/>
      <c r="BW25" s="363" t="n"/>
      <c r="BX25" s="363" t="n"/>
      <c r="BY25" s="363" t="n"/>
      <c r="BZ25" s="363" t="n"/>
      <c r="CA25" s="363" t="n"/>
      <c r="CB25" s="363" t="n"/>
      <c r="CC25" s="363" t="n"/>
      <c r="CD25" s="363" t="n"/>
      <c r="CE25" s="363" t="n"/>
      <c r="CF25" s="363" t="n"/>
      <c r="CG25" s="363" t="n"/>
      <c r="CH25" s="363" t="n"/>
      <c r="CI25" s="363" t="n"/>
      <c r="CJ25" s="363" t="n"/>
      <c r="CK25" s="363" t="n"/>
      <c r="CL25" s="363" t="n"/>
      <c r="CM25" s="363" t="n"/>
      <c r="CN25" s="363" t="n"/>
      <c r="CO25" s="363" t="n"/>
      <c r="CP25" s="363" t="n"/>
      <c r="CQ25" s="363" t="n"/>
      <c r="CR25" s="363" t="n"/>
      <c r="CS25" s="363" t="n"/>
      <c r="CT25" s="363" t="n"/>
      <c r="CU25" s="363" t="n"/>
      <c r="CV25" s="363" t="n"/>
      <c r="CW25" s="363" t="n"/>
      <c r="CX25" s="363" t="n"/>
      <c r="CY25" s="363" t="n"/>
      <c r="CZ25" s="363" t="n"/>
      <c r="DA25" s="363" t="n"/>
      <c r="DB25" s="363" t="n"/>
      <c r="DC25" s="363" t="n"/>
      <c r="DD25" s="363" t="n"/>
      <c r="DE25" s="363" t="n"/>
      <c r="DF25" s="363" t="n"/>
      <c r="DG25" s="363" t="n"/>
      <c r="DH25" s="362" t="n"/>
      <c r="DI25" s="362" t="n"/>
      <c r="DJ25" s="362" t="n"/>
      <c r="DK25" s="362" t="n"/>
      <c r="DL25" s="362" t="n"/>
      <c r="DM25" s="362" t="n"/>
      <c r="DN25" s="362" t="n"/>
      <c r="DO25" s="362" t="n"/>
      <c r="DP25" s="362" t="n"/>
      <c r="DQ25" s="362" t="n"/>
      <c r="DR25" s="362" t="n"/>
      <c r="DS25" s="362" t="n"/>
      <c r="DT25" s="362" t="n"/>
      <c r="DU25" s="362" t="n"/>
      <c r="DV25" s="362" t="n"/>
      <c r="DW25" s="362" t="n"/>
      <c r="DX25" s="362" t="n"/>
      <c r="DY25" s="362" t="n"/>
      <c r="DZ25" s="362" t="n"/>
      <c r="EA25" s="362" t="n"/>
      <c r="EB25" s="362" t="n"/>
      <c r="EC25" s="362" t="n"/>
      <c r="ED25" s="363" t="n"/>
      <c r="EE25" s="363" t="n"/>
      <c r="EF25" s="363" t="n"/>
    </row>
    <row r="26" ht="13.35" customHeight="1" s="276">
      <c r="A26" s="55" t="n">
        <v>1</v>
      </c>
      <c r="B26" s="254" t="inlineStr">
        <is>
          <t>Aplicação em Fundos</t>
        </is>
      </c>
      <c r="C26" s="63" t="n">
        <v>0</v>
      </c>
      <c r="D26" s="64" t="n">
        <v>0</v>
      </c>
      <c r="E26" s="65" t="n">
        <v>0</v>
      </c>
      <c r="F26" s="66" t="n">
        <v>0</v>
      </c>
      <c r="G26" s="64" t="n">
        <v>0</v>
      </c>
      <c r="H26" s="67" t="n">
        <v>0</v>
      </c>
      <c r="I26" s="68" t="n">
        <v>0</v>
      </c>
      <c r="J26" s="69">
        <f>H26-I26</f>
        <v/>
      </c>
      <c r="K26" s="71" t="n"/>
      <c r="L26" s="83" t="inlineStr">
        <is>
          <t xml:space="preserve">Duração </t>
        </is>
      </c>
      <c r="M26" s="84" t="inlineStr">
        <is>
          <t>10 meses</t>
        </is>
      </c>
      <c r="N26" s="71" t="n"/>
      <c r="O26" s="71" t="n"/>
      <c r="P26" s="71" t="n"/>
      <c r="Q26" s="71" t="n"/>
      <c r="R26" s="71" t="n"/>
      <c r="S26" s="71" t="n"/>
      <c r="T26" s="71" t="n"/>
      <c r="U26" s="71" t="n"/>
      <c r="V26" s="71" t="n"/>
      <c r="W26" s="71" t="n"/>
      <c r="X26" s="71" t="n"/>
      <c r="Y26" s="71" t="n"/>
      <c r="Z26" s="71" t="n"/>
      <c r="AA26" s="71" t="n"/>
      <c r="AB26" s="71" t="n"/>
      <c r="AC26" s="71" t="n"/>
      <c r="AD26" s="71" t="n"/>
      <c r="AE26" s="71" t="n"/>
      <c r="AF26" s="71" t="n"/>
      <c r="AG26" s="71" t="n"/>
      <c r="AH26" s="71" t="n"/>
      <c r="AI26" s="71" t="n"/>
      <c r="AJ26" s="71" t="n"/>
      <c r="AK26" s="71" t="n"/>
      <c r="AL26" s="71" t="n"/>
      <c r="AM26" s="71" t="n"/>
      <c r="AN26" s="71" t="n"/>
      <c r="AO26" s="71" t="n"/>
      <c r="AP26" s="71" t="n"/>
      <c r="AQ26" s="71" t="n"/>
      <c r="AR26" s="71" t="n"/>
      <c r="AS26" s="71" t="n"/>
      <c r="AT26" s="71" t="n"/>
      <c r="AU26" s="71" t="n"/>
      <c r="AV26" s="71" t="n"/>
      <c r="AW26" s="71" t="n"/>
      <c r="AX26" s="71" t="n"/>
      <c r="AY26" s="71" t="n"/>
      <c r="AZ26" s="71" t="n"/>
      <c r="BA26" s="71" t="n"/>
      <c r="BB26" s="71" t="n"/>
      <c r="BC26" s="71" t="n"/>
      <c r="BD26" s="71" t="n"/>
      <c r="BE26" s="71" t="n"/>
      <c r="BF26" s="71" t="n"/>
      <c r="BG26" s="71" t="n"/>
      <c r="BH26" s="71" t="n"/>
      <c r="BI26" s="71" t="n"/>
      <c r="BJ26" s="71" t="n"/>
      <c r="BK26" s="71" t="n"/>
      <c r="BL26" s="71" t="n"/>
      <c r="BM26" s="71" t="n"/>
      <c r="BN26" s="71" t="n"/>
      <c r="BO26" s="71" t="n"/>
      <c r="BP26" s="71" t="n"/>
      <c r="BQ26" s="71" t="n"/>
      <c r="BR26" s="71" t="n"/>
      <c r="BS26" s="71" t="n"/>
      <c r="BT26" s="71" t="n"/>
      <c r="BU26" s="71" t="n"/>
      <c r="BV26" s="71" t="n"/>
      <c r="BW26" s="71" t="n"/>
      <c r="BX26" s="71" t="n"/>
      <c r="BY26" s="71" t="n"/>
      <c r="BZ26" s="71" t="n"/>
      <c r="CA26" s="71" t="n"/>
      <c r="CB26" s="71" t="n"/>
      <c r="CC26" s="71" t="n"/>
      <c r="CD26" s="71" t="n"/>
      <c r="CE26" s="71" t="n"/>
      <c r="CF26" s="71" t="n"/>
      <c r="CG26" s="71" t="n"/>
      <c r="CH26" s="71" t="n"/>
      <c r="CI26" s="71" t="n"/>
      <c r="CJ26" s="71" t="n"/>
      <c r="CK26" s="71" t="n"/>
      <c r="CL26" s="71" t="n"/>
      <c r="CM26" s="71" t="n"/>
      <c r="CN26" s="71" t="n"/>
      <c r="CO26" s="71" t="n"/>
      <c r="CP26" s="71" t="n"/>
      <c r="CQ26" s="71" t="n"/>
      <c r="CR26" s="71" t="n"/>
      <c r="CS26" s="71" t="n"/>
      <c r="CT26" s="71" t="n"/>
      <c r="CU26" s="71" t="n"/>
      <c r="CV26" s="71" t="n"/>
      <c r="CW26" s="71" t="n"/>
      <c r="CX26" s="71" t="n"/>
      <c r="CY26" s="71" t="n"/>
      <c r="CZ26" s="71" t="n"/>
      <c r="DA26" s="71" t="n"/>
      <c r="DB26" s="71" t="n"/>
      <c r="DC26" s="71" t="n"/>
      <c r="DD26" s="71" t="n"/>
      <c r="DE26" s="71" t="n"/>
      <c r="DF26" s="71" t="n"/>
      <c r="DG26" s="71" t="n"/>
      <c r="DH26" s="70" t="n"/>
      <c r="DI26" s="70" t="n"/>
      <c r="DJ26" s="70" t="n"/>
      <c r="DK26" s="70" t="n"/>
      <c r="DL26" s="70" t="n"/>
      <c r="DM26" s="70" t="n"/>
      <c r="DN26" s="70" t="n"/>
      <c r="DO26" s="70" t="n"/>
      <c r="DP26" s="70" t="n"/>
      <c r="DQ26" s="70" t="n"/>
      <c r="DR26" s="70" t="n"/>
      <c r="DS26" s="70" t="n"/>
      <c r="DT26" s="70" t="n"/>
      <c r="DU26" s="70" t="n"/>
      <c r="DV26" s="70" t="n"/>
      <c r="DW26" s="70" t="n"/>
      <c r="DX26" s="70" t="n"/>
      <c r="DY26" s="70" t="n"/>
      <c r="DZ26" s="70" t="n"/>
      <c r="EA26" s="70" t="n"/>
      <c r="EB26" s="70" t="n"/>
      <c r="EC26" s="70" t="n"/>
      <c r="ED26" s="71" t="n"/>
      <c r="EE26" s="71" t="n"/>
      <c r="EF26" s="71" t="n"/>
    </row>
    <row r="27" ht="13.35" customHeight="1" s="276">
      <c r="A27" s="55">
        <f>A26+1</f>
        <v/>
      </c>
      <c r="B27" s="72" t="inlineStr">
        <is>
          <t>Custos do |Projeto</t>
        </is>
      </c>
      <c r="C27" s="63">
        <f>D27/22661520</f>
        <v/>
      </c>
      <c r="D27" s="64" t="n">
        <v>2129195</v>
      </c>
      <c r="E27" s="65" t="n">
        <v>0</v>
      </c>
      <c r="F27" s="66">
        <f>D27-E27</f>
        <v/>
      </c>
      <c r="G27" s="64" t="n">
        <v>0</v>
      </c>
      <c r="H27" s="67">
        <f>E27+G27</f>
        <v/>
      </c>
      <c r="I27" s="68">
        <f>-N22</f>
        <v/>
      </c>
      <c r="J27" s="69">
        <f>E27+F27+G27+I27</f>
        <v/>
      </c>
      <c r="K27" s="71" t="n"/>
      <c r="L27" s="83" t="inlineStr">
        <is>
          <t>Fim</t>
        </is>
      </c>
      <c r="M27" s="369" t="n">
        <v>46440</v>
      </c>
      <c r="N27" s="71" t="n"/>
      <c r="O27" s="71" t="n"/>
      <c r="P27" s="71" t="n"/>
      <c r="Q27" s="71" t="n"/>
      <c r="R27" s="71" t="n"/>
      <c r="S27" s="71" t="n"/>
      <c r="T27" s="71" t="n"/>
      <c r="U27" s="71" t="n"/>
      <c r="V27" s="71" t="n"/>
      <c r="W27" s="71" t="n"/>
      <c r="X27" s="71" t="n"/>
      <c r="Y27" s="71" t="n"/>
      <c r="Z27" s="71" t="n"/>
      <c r="AA27" s="71" t="n"/>
      <c r="AB27" s="71" t="n"/>
      <c r="AC27" s="71" t="n"/>
      <c r="AD27" s="71" t="n"/>
      <c r="AE27" s="71" t="n"/>
      <c r="AF27" s="71" t="n"/>
      <c r="AG27" s="71" t="n"/>
      <c r="AH27" s="71" t="n"/>
      <c r="AI27" s="71" t="n"/>
      <c r="AJ27" s="71" t="n"/>
      <c r="AK27" s="71" t="n"/>
      <c r="AL27" s="71" t="n"/>
      <c r="AM27" s="71" t="n"/>
      <c r="AN27" s="71" t="n"/>
      <c r="AO27" s="71" t="n"/>
      <c r="AP27" s="71" t="n"/>
      <c r="AQ27" s="71" t="n"/>
      <c r="AR27" s="71" t="n"/>
      <c r="AS27" s="71" t="n"/>
      <c r="AT27" s="71" t="n"/>
      <c r="AU27" s="71" t="n"/>
      <c r="AV27" s="71" t="n"/>
      <c r="AW27" s="71" t="n"/>
      <c r="AX27" s="71" t="n"/>
      <c r="AY27" s="71" t="n"/>
      <c r="AZ27" s="71" t="n"/>
      <c r="BA27" s="71" t="n"/>
      <c r="BB27" s="71" t="n"/>
      <c r="BC27" s="71" t="n"/>
      <c r="BD27" s="71" t="n"/>
      <c r="BE27" s="71" t="n"/>
      <c r="BF27" s="71" t="n"/>
      <c r="BG27" s="71" t="n"/>
      <c r="BH27" s="71" t="n"/>
      <c r="BI27" s="71" t="n"/>
      <c r="BJ27" s="71" t="n"/>
      <c r="BK27" s="71" t="n"/>
      <c r="BL27" s="71" t="n"/>
      <c r="BM27" s="71" t="n"/>
      <c r="BN27" s="71" t="n"/>
      <c r="BO27" s="71" t="n"/>
      <c r="BP27" s="71" t="n"/>
      <c r="BQ27" s="71" t="n"/>
      <c r="BR27" s="71" t="n"/>
      <c r="BS27" s="71" t="n"/>
      <c r="BT27" s="71" t="n"/>
      <c r="BU27" s="71" t="n"/>
      <c r="BV27" s="71" t="n"/>
      <c r="BW27" s="71" t="n"/>
      <c r="BX27" s="71" t="n"/>
      <c r="BY27" s="71" t="n"/>
      <c r="BZ27" s="71" t="n"/>
      <c r="CA27" s="71" t="n"/>
      <c r="CB27" s="71" t="n"/>
      <c r="CC27" s="71" t="n"/>
      <c r="CD27" s="71" t="n"/>
      <c r="CE27" s="71" t="n"/>
      <c r="CF27" s="71" t="n"/>
      <c r="CG27" s="71" t="n"/>
      <c r="CH27" s="71" t="n"/>
      <c r="CI27" s="71" t="n"/>
      <c r="CJ27" s="71" t="n"/>
      <c r="CK27" s="71" t="n"/>
      <c r="CL27" s="71" t="n"/>
      <c r="CM27" s="71" t="n"/>
      <c r="CN27" s="71" t="n"/>
      <c r="CO27" s="71" t="n"/>
      <c r="CP27" s="71" t="n"/>
      <c r="CQ27" s="71" t="n"/>
      <c r="CR27" s="71" t="n"/>
      <c r="CS27" s="71" t="n"/>
      <c r="CT27" s="71" t="n"/>
      <c r="CU27" s="71" t="n"/>
      <c r="CV27" s="71" t="n"/>
      <c r="CW27" s="71" t="n"/>
      <c r="CX27" s="71" t="n"/>
      <c r="CY27" s="71" t="n"/>
      <c r="CZ27" s="71" t="n"/>
      <c r="DA27" s="71" t="n"/>
      <c r="DB27" s="71" t="n"/>
      <c r="DC27" s="71" t="n"/>
      <c r="DD27" s="71" t="n"/>
      <c r="DE27" s="71" t="n"/>
      <c r="DF27" s="71" t="n"/>
      <c r="DG27" s="71" t="n"/>
      <c r="DH27" s="70" t="n"/>
      <c r="DI27" s="70" t="n"/>
      <c r="DJ27" s="70" t="n"/>
      <c r="DK27" s="70" t="n"/>
      <c r="DL27" s="70" t="n"/>
      <c r="DM27" s="70" t="n"/>
      <c r="DN27" s="70" t="n"/>
      <c r="DO27" s="70" t="n"/>
      <c r="DP27" s="70" t="n"/>
      <c r="DQ27" s="70" t="n"/>
      <c r="DR27" s="70" t="n"/>
      <c r="DS27" s="70" t="n"/>
      <c r="DT27" s="70" t="n"/>
      <c r="DU27" s="70" t="n"/>
      <c r="DV27" s="70" t="n"/>
      <c r="DW27" s="70" t="n"/>
      <c r="DX27" s="70" t="n"/>
      <c r="DY27" s="70" t="n"/>
      <c r="DZ27" s="70" t="n"/>
      <c r="EA27" s="70" t="n"/>
      <c r="EB27" s="70" t="n"/>
      <c r="EC27" s="70" t="n"/>
      <c r="ED27" s="71" t="n"/>
      <c r="EE27" s="71" t="n"/>
      <c r="EF27" s="71" t="n"/>
    </row>
    <row r="28" ht="13.35" customHeight="1" s="276">
      <c r="A28" s="76" t="n"/>
      <c r="B28" s="62" t="inlineStr">
        <is>
          <t>Totais</t>
        </is>
      </c>
      <c r="C28" s="77">
        <f>SUM(C27:C27)</f>
        <v/>
      </c>
      <c r="D28" s="78">
        <f>SUM(D26:D27)</f>
        <v/>
      </c>
      <c r="E28" s="78">
        <f>SUM(E26:E27)</f>
        <v/>
      </c>
      <c r="F28" s="78">
        <f>SUM(F26:F27)</f>
        <v/>
      </c>
      <c r="G28" s="78">
        <f>SUM(G26:G27)</f>
        <v/>
      </c>
      <c r="H28" s="78">
        <f>SUM(H26:H27)</f>
        <v/>
      </c>
      <c r="I28" s="78">
        <f>SUM(I26:I27)</f>
        <v/>
      </c>
      <c r="J28" s="78">
        <f>SUM(J26:J27)</f>
        <v/>
      </c>
      <c r="K28" s="85" t="n"/>
      <c r="M28" s="85" t="n"/>
      <c r="N28" s="85" t="n"/>
      <c r="O28" s="85" t="n"/>
      <c r="P28" s="85" t="n"/>
      <c r="Q28" s="85" t="n"/>
      <c r="R28" s="85" t="n"/>
      <c r="S28" s="85" t="n"/>
      <c r="T28" s="85" t="n"/>
      <c r="U28" s="85" t="n"/>
      <c r="V28" s="85" t="n"/>
      <c r="W28" s="85" t="n"/>
      <c r="X28" s="85" t="n"/>
      <c r="Y28" s="85" t="n"/>
      <c r="Z28" s="85" t="n"/>
      <c r="AA28" s="85" t="n"/>
      <c r="AB28" s="85" t="n"/>
      <c r="AC28" s="85" t="n"/>
      <c r="AD28" s="85" t="n"/>
      <c r="AE28" s="85" t="n"/>
      <c r="AF28" s="85" t="n"/>
      <c r="AG28" s="85" t="n"/>
      <c r="AH28" s="85" t="n"/>
      <c r="AI28" s="85" t="n"/>
      <c r="AJ28" s="71" t="n"/>
      <c r="AK28" s="71" t="n"/>
      <c r="AL28" s="71" t="n"/>
      <c r="AM28" s="71" t="n"/>
      <c r="AN28" s="71" t="n"/>
      <c r="AO28" s="71" t="n"/>
      <c r="AP28" s="71" t="n"/>
      <c r="AQ28" s="71" t="n"/>
      <c r="AR28" s="71" t="n"/>
      <c r="AS28" s="71" t="n"/>
      <c r="AT28" s="71" t="n"/>
      <c r="AU28" s="71" t="n"/>
      <c r="AV28" s="71" t="n"/>
      <c r="AW28" s="71" t="n"/>
      <c r="AX28" s="71" t="n"/>
      <c r="AY28" s="71" t="n"/>
      <c r="AZ28" s="71" t="n"/>
      <c r="BA28" s="71" t="n"/>
      <c r="BB28" s="71" t="n"/>
      <c r="BC28" s="71" t="n"/>
      <c r="BD28" s="71" t="n"/>
      <c r="BE28" s="71" t="n"/>
      <c r="BF28" s="71" t="n"/>
      <c r="BG28" s="71" t="n"/>
      <c r="BH28" s="71" t="n"/>
      <c r="BI28" s="71" t="n"/>
      <c r="BJ28" s="71" t="n"/>
      <c r="BK28" s="71" t="n"/>
      <c r="BL28" s="71" t="n"/>
      <c r="BM28" s="71" t="n"/>
      <c r="BN28" s="71" t="n"/>
      <c r="BO28" s="71" t="n"/>
      <c r="BP28" s="71" t="n"/>
      <c r="BQ28" s="71" t="n"/>
      <c r="BR28" s="71" t="n"/>
      <c r="BS28" s="71" t="n"/>
      <c r="BT28" s="71" t="n"/>
      <c r="BU28" s="71" t="n"/>
      <c r="BV28" s="71" t="n"/>
      <c r="BW28" s="71" t="n"/>
      <c r="BX28" s="71" t="n"/>
      <c r="BY28" s="71" t="n"/>
      <c r="BZ28" s="71" t="n"/>
      <c r="CA28" s="71" t="n"/>
      <c r="CB28" s="71" t="n"/>
      <c r="CC28" s="71" t="n"/>
      <c r="CD28" s="71" t="n"/>
      <c r="CE28" s="71" t="n"/>
      <c r="CF28" s="71" t="n"/>
      <c r="CG28" s="71" t="n"/>
      <c r="CH28" s="71" t="n"/>
      <c r="CI28" s="71" t="n"/>
      <c r="CJ28" s="71" t="n"/>
      <c r="CK28" s="71" t="n"/>
      <c r="CL28" s="71" t="n"/>
      <c r="CM28" s="71" t="n"/>
      <c r="CN28" s="71" t="n"/>
      <c r="CO28" s="71" t="n"/>
      <c r="CP28" s="71" t="n"/>
      <c r="CQ28" s="71" t="n"/>
      <c r="CR28" s="71" t="n"/>
      <c r="CS28" s="71" t="n"/>
      <c r="CT28" s="71" t="n"/>
      <c r="CU28" s="71" t="n"/>
      <c r="CV28" s="71" t="n"/>
      <c r="CW28" s="71" t="n"/>
      <c r="CX28" s="71" t="n"/>
      <c r="CY28" s="71" t="n"/>
      <c r="CZ28" s="71" t="n"/>
      <c r="DA28" s="71" t="n"/>
      <c r="DB28" s="71" t="n"/>
      <c r="DC28" s="71" t="n"/>
      <c r="DD28" s="71" t="n"/>
      <c r="DE28" s="71" t="n"/>
      <c r="DF28" s="71" t="n"/>
      <c r="DG28" s="71" t="n"/>
      <c r="DH28" s="70" t="n"/>
      <c r="DI28" s="70" t="n"/>
      <c r="DJ28" s="70" t="n"/>
      <c r="DK28" s="70" t="n"/>
      <c r="DL28" s="70" t="n"/>
      <c r="DM28" s="70" t="n"/>
      <c r="DN28" s="70" t="n"/>
      <c r="DO28" s="70" t="n"/>
      <c r="DP28" s="70" t="n"/>
      <c r="DQ28" s="70" t="n"/>
      <c r="DR28" s="70" t="n"/>
      <c r="DS28" s="70" t="n"/>
      <c r="DT28" s="70" t="n"/>
      <c r="DU28" s="70" t="n"/>
      <c r="DV28" s="70" t="n"/>
      <c r="DW28" s="70" t="n"/>
      <c r="DX28" s="70" t="n"/>
      <c r="DY28" s="70" t="n"/>
      <c r="DZ28" s="70" t="n"/>
      <c r="EA28" s="70" t="n"/>
      <c r="EB28" s="70" t="n"/>
      <c r="EC28" s="70" t="n"/>
      <c r="ED28" s="71" t="n"/>
      <c r="EE28" s="71" t="n"/>
      <c r="EF28" s="71" t="n"/>
    </row>
    <row r="29">
      <c r="A29" s="47" t="n"/>
    </row>
    <row r="30">
      <c r="A30" s="47" t="n"/>
    </row>
    <row r="31">
      <c r="A31" s="47" t="n"/>
    </row>
    <row r="32">
      <c r="A32" s="47" t="n"/>
    </row>
    <row r="33">
      <c r="A33" s="47" t="n"/>
    </row>
    <row r="34">
      <c r="A34" s="47" t="n"/>
    </row>
    <row r="35">
      <c r="A35" s="47" t="n"/>
    </row>
    <row r="36">
      <c r="A36" s="47" t="n"/>
    </row>
    <row r="37">
      <c r="A37" s="47" t="n"/>
    </row>
    <row r="38">
      <c r="A38" s="47" t="n"/>
    </row>
    <row r="39">
      <c r="A39" s="47" t="n"/>
    </row>
    <row r="40">
      <c r="A40" s="47" t="n"/>
    </row>
    <row r="41">
      <c r="A41" s="47" t="n"/>
    </row>
    <row r="42">
      <c r="A42" s="47" t="n"/>
    </row>
    <row r="43">
      <c r="A43" s="47" t="n"/>
    </row>
    <row r="44">
      <c r="A44" s="47" t="n"/>
    </row>
    <row r="45">
      <c r="A45" s="47" t="n"/>
    </row>
    <row r="46">
      <c r="A46" s="47" t="n"/>
    </row>
    <row r="47">
      <c r="A47" s="47" t="n"/>
    </row>
    <row r="48">
      <c r="A48" s="47" t="n"/>
    </row>
    <row r="49">
      <c r="A49" s="47" t="n"/>
    </row>
    <row r="50">
      <c r="A50" s="47" t="n"/>
    </row>
    <row r="51">
      <c r="A51" s="47" t="n"/>
    </row>
    <row r="52">
      <c r="A52" s="47" t="n"/>
    </row>
    <row r="53">
      <c r="A53" s="47" t="n"/>
    </row>
    <row r="54">
      <c r="A54" s="47" t="n"/>
    </row>
    <row r="55">
      <c r="A55" s="47" t="n"/>
    </row>
    <row r="56">
      <c r="A56" s="47" t="n"/>
    </row>
    <row r="57">
      <c r="A57" s="47" t="n"/>
    </row>
    <row r="58">
      <c r="A58" s="47" t="n"/>
    </row>
    <row r="59">
      <c r="A59" s="47" t="n"/>
    </row>
    <row r="60">
      <c r="A60" s="47" t="n"/>
    </row>
    <row r="61">
      <c r="A61" s="47" t="n"/>
    </row>
    <row r="62">
      <c r="A62" s="47" t="n"/>
    </row>
    <row r="63">
      <c r="A63" s="47" t="n"/>
    </row>
    <row r="64">
      <c r="A64" s="47" t="n"/>
    </row>
    <row r="65">
      <c r="A65" s="47" t="n"/>
    </row>
    <row r="66">
      <c r="A66" s="47" t="n"/>
    </row>
    <row r="67">
      <c r="A67" s="47" t="n"/>
    </row>
    <row r="68">
      <c r="A68" s="47" t="n"/>
    </row>
    <row r="69">
      <c r="A69" s="47" t="n"/>
    </row>
    <row r="70" ht="14.25" customHeight="1" s="276">
      <c r="A70" s="47" t="n"/>
    </row>
    <row r="71" ht="14.25" customHeight="1" s="276">
      <c r="A71" s="47" t="n"/>
    </row>
    <row r="72" ht="14.25" customHeight="1" s="276">
      <c r="A72" s="47" t="n"/>
    </row>
    <row r="73" ht="14.25" customHeight="1" s="276">
      <c r="A73" s="47" t="n"/>
    </row>
    <row r="74" ht="14.25" customHeight="1" s="276">
      <c r="A74" s="47" t="n"/>
    </row>
    <row r="75" ht="14.25" customHeight="1" s="276">
      <c r="A75" s="47" t="n"/>
    </row>
    <row r="76" ht="14.25" customHeight="1" s="276">
      <c r="A76" s="47" t="n"/>
    </row>
    <row r="77" ht="14.25" customHeight="1" s="276">
      <c r="A77" s="47" t="n"/>
    </row>
    <row r="78" ht="14.25" customHeight="1" s="276">
      <c r="A78" s="47" t="n"/>
    </row>
    <row r="79" ht="14.25" customHeight="1" s="276">
      <c r="A79" s="47" t="n"/>
    </row>
    <row r="80" ht="14.25" customHeight="1" s="276">
      <c r="A80" s="47" t="n"/>
    </row>
    <row r="81" ht="14.25" customHeight="1" s="276">
      <c r="A81" s="47" t="n"/>
    </row>
    <row r="82" ht="14.25" customHeight="1" s="276">
      <c r="A82" s="47" t="n"/>
    </row>
    <row r="83" ht="14.25" customHeight="1" s="276">
      <c r="A83" s="47" t="n"/>
    </row>
    <row r="84" ht="14.25" customHeight="1" s="276">
      <c r="A84" s="47" t="n"/>
    </row>
    <row r="85" ht="14.25" customHeight="1" s="276">
      <c r="A85" s="47" t="n"/>
    </row>
    <row r="86" ht="14.25" customHeight="1" s="276">
      <c r="A86" s="47" t="n"/>
    </row>
    <row r="87" ht="14.25" customHeight="1" s="276">
      <c r="A87" s="47" t="n"/>
    </row>
    <row r="88" ht="14.25" customHeight="1" s="276">
      <c r="A88" s="47" t="n"/>
    </row>
    <row r="89" ht="14.25" customHeight="1" s="276">
      <c r="A89" s="47" t="n"/>
    </row>
    <row r="90" ht="14.25" customHeight="1" s="276">
      <c r="A90" s="47" t="n"/>
    </row>
    <row r="91" ht="14.25" customHeight="1" s="276">
      <c r="A91" s="47" t="n"/>
    </row>
    <row r="92" ht="14.25" customHeight="1" s="276">
      <c r="A92" s="47" t="n"/>
    </row>
    <row r="93" ht="14.25" customHeight="1" s="276">
      <c r="A93" s="47" t="n"/>
    </row>
    <row r="94" ht="14.25" customHeight="1" s="276">
      <c r="A94" s="47" t="n"/>
    </row>
    <row r="95" ht="14.25" customHeight="1" s="276">
      <c r="A95" s="47" t="n"/>
    </row>
    <row r="96" ht="14.25" customHeight="1" s="276">
      <c r="A96" s="47" t="n"/>
    </row>
    <row r="97" ht="14.25" customHeight="1" s="276">
      <c r="A97" s="47" t="n"/>
    </row>
    <row r="98" ht="14.25" customHeight="1" s="276">
      <c r="A98" s="47" t="n"/>
    </row>
    <row r="99" ht="14.25" customHeight="1" s="276">
      <c r="A99" s="47" t="n"/>
    </row>
    <row r="100" ht="14.25" customHeight="1" s="276">
      <c r="A100" s="47" t="n"/>
    </row>
    <row r="101" ht="14.25" customHeight="1" s="276">
      <c r="A101" s="47" t="n"/>
    </row>
    <row r="102" ht="14.25" customHeight="1" s="276">
      <c r="A102" s="47" t="n"/>
    </row>
    <row r="103" ht="14.25" customHeight="1" s="276">
      <c r="A103" s="47" t="n"/>
    </row>
    <row r="104" ht="14.25" customHeight="1" s="276">
      <c r="A104" s="47" t="n"/>
    </row>
    <row r="105" ht="14.25" customHeight="1" s="276">
      <c r="A105" s="47" t="n"/>
    </row>
    <row r="106" ht="14.25" customHeight="1" s="276">
      <c r="A106" s="47" t="n"/>
    </row>
    <row r="107" ht="14.25" customHeight="1" s="276">
      <c r="A107" s="47" t="n"/>
    </row>
    <row r="108" ht="14.25" customHeight="1" s="276">
      <c r="A108" s="47" t="n"/>
    </row>
    <row r="109" ht="14.25" customHeight="1" s="276">
      <c r="A109" s="47" t="n"/>
    </row>
    <row r="110" ht="14.25" customHeight="1" s="276">
      <c r="A110" s="47" t="n"/>
    </row>
    <row r="111" ht="14.25" customHeight="1" s="276">
      <c r="A111" s="47" t="n"/>
    </row>
    <row r="112" ht="14.25" customHeight="1" s="276">
      <c r="A112" s="47" t="n"/>
    </row>
    <row r="113" ht="14.25" customHeight="1" s="276">
      <c r="A113" s="47" t="n"/>
    </row>
    <row r="114" ht="14.25" customHeight="1" s="276">
      <c r="A114" s="47" t="n"/>
    </row>
    <row r="115" ht="14.25" customHeight="1" s="276">
      <c r="A115" s="47" t="n"/>
    </row>
    <row r="116" ht="14.25" customHeight="1" s="276">
      <c r="A116" s="47" t="n"/>
    </row>
    <row r="117" ht="14.25" customHeight="1" s="276">
      <c r="A117" s="47" t="n"/>
    </row>
    <row r="118" ht="14.25" customHeight="1" s="276">
      <c r="A118" s="47" t="n"/>
    </row>
    <row r="119" ht="14.25" customHeight="1" s="276">
      <c r="A119" s="47" t="n"/>
    </row>
    <row r="120" ht="14.25" customHeight="1" s="276">
      <c r="A120" s="47" t="n"/>
    </row>
    <row r="121" ht="14.25" customHeight="1" s="276">
      <c r="A121" s="47" t="n"/>
    </row>
    <row r="122" ht="14.25" customHeight="1" s="276">
      <c r="A122" s="47" t="n"/>
    </row>
    <row r="123" ht="14.25" customHeight="1" s="276">
      <c r="A123" s="47" t="n"/>
    </row>
    <row r="124" ht="14.25" customHeight="1" s="276">
      <c r="A124" s="47" t="n"/>
    </row>
    <row r="125" ht="14.25" customHeight="1" s="276">
      <c r="A125" s="47" t="n"/>
    </row>
    <row r="126" ht="14.25" customHeight="1" s="276">
      <c r="A126" s="47" t="n"/>
    </row>
    <row r="127" ht="14.25" customHeight="1" s="276">
      <c r="A127" s="47" t="n"/>
    </row>
    <row r="128" ht="14.25" customHeight="1" s="276">
      <c r="A128" s="47" t="n"/>
    </row>
    <row r="129" ht="14.25" customHeight="1" s="276">
      <c r="A129" s="47" t="n"/>
    </row>
    <row r="130" ht="14.25" customHeight="1" s="276">
      <c r="A130" s="47" t="n"/>
    </row>
    <row r="131" ht="14.25" customHeight="1" s="276">
      <c r="A131" s="47" t="n"/>
    </row>
    <row r="132" ht="14.25" customHeight="1" s="276">
      <c r="A132" s="47" t="n"/>
    </row>
    <row r="133" ht="14.25" customHeight="1" s="276">
      <c r="A133" s="47" t="n"/>
    </row>
    <row r="134" ht="14.25" customHeight="1" s="276">
      <c r="A134" s="47" t="n"/>
    </row>
    <row r="135" ht="14.25" customHeight="1" s="276">
      <c r="A135" s="47" t="n"/>
    </row>
    <row r="136" ht="14.25" customHeight="1" s="276">
      <c r="A136" s="47" t="n"/>
    </row>
    <row r="137" ht="14.25" customHeight="1" s="276">
      <c r="A137" s="47" t="n"/>
    </row>
    <row r="138" ht="14.25" customHeight="1" s="276">
      <c r="A138" s="47" t="n"/>
    </row>
    <row r="139" ht="14.25" customHeight="1" s="276">
      <c r="A139" s="47" t="n"/>
    </row>
    <row r="140" ht="14.25" customHeight="1" s="276">
      <c r="A140" s="47" t="n"/>
    </row>
    <row r="141" ht="14.25" customHeight="1" s="276">
      <c r="A141" s="47" t="n"/>
    </row>
    <row r="142" ht="14.25" customHeight="1" s="276">
      <c r="A142" s="47" t="n"/>
    </row>
    <row r="143" ht="14.25" customHeight="1" s="276">
      <c r="A143" s="47" t="n"/>
    </row>
    <row r="144" ht="14.25" customHeight="1" s="276">
      <c r="A144" s="47" t="n"/>
    </row>
    <row r="145" ht="14.25" customHeight="1" s="276">
      <c r="A145" s="47" t="n"/>
    </row>
    <row r="146" ht="14.25" customHeight="1" s="276">
      <c r="A146" s="47" t="n"/>
    </row>
    <row r="147" ht="14.25" customHeight="1" s="276">
      <c r="A147" s="47" t="n"/>
    </row>
    <row r="148" ht="14.25" customHeight="1" s="276">
      <c r="A148" s="47" t="n"/>
    </row>
    <row r="149" ht="14.25" customHeight="1" s="276">
      <c r="A149" s="47" t="n"/>
    </row>
    <row r="150" ht="14.25" customHeight="1" s="276">
      <c r="A150" s="47" t="n"/>
    </row>
    <row r="151" ht="14.25" customHeight="1" s="276">
      <c r="A151" s="47" t="n"/>
    </row>
    <row r="152" ht="14.25" customHeight="1" s="276">
      <c r="A152" s="47" t="n"/>
    </row>
    <row r="153" ht="14.25" customHeight="1" s="276">
      <c r="A153" s="47" t="n"/>
    </row>
    <row r="154" ht="14.25" customHeight="1" s="276">
      <c r="A154" s="47" t="n"/>
    </row>
    <row r="155" ht="14.25" customHeight="1" s="276">
      <c r="A155" s="47" t="n"/>
    </row>
    <row r="156" ht="14.25" customHeight="1" s="276">
      <c r="A156" s="47" t="n"/>
    </row>
    <row r="157" ht="14.25" customHeight="1" s="276">
      <c r="A157" s="47" t="n"/>
    </row>
    <row r="158" ht="14.25" customHeight="1" s="276">
      <c r="A158" s="47" t="n"/>
    </row>
    <row r="159" ht="14.25" customHeight="1" s="276">
      <c r="A159" s="47" t="n"/>
    </row>
    <row r="160" ht="14.25" customHeight="1" s="276">
      <c r="A160" s="47" t="n"/>
    </row>
    <row r="161" ht="14.25" customHeight="1" s="276">
      <c r="A161" s="47" t="n"/>
    </row>
    <row r="162" ht="14.25" customHeight="1" s="276">
      <c r="A162" s="47" t="n"/>
    </row>
    <row r="163" ht="14.25" customHeight="1" s="276">
      <c r="A163" s="47" t="n"/>
    </row>
    <row r="164" ht="14.25" customHeight="1" s="276">
      <c r="A164" s="47" t="n"/>
    </row>
    <row r="165" ht="14.25" customHeight="1" s="276">
      <c r="A165" s="47" t="n"/>
    </row>
    <row r="166" ht="14.25" customHeight="1" s="276">
      <c r="A166" s="47" t="n"/>
    </row>
    <row r="167" ht="14.25" customHeight="1" s="276">
      <c r="A167" s="47" t="n"/>
    </row>
    <row r="168" ht="14.25" customHeight="1" s="276">
      <c r="A168" s="47" t="n"/>
    </row>
    <row r="169" ht="14.25" customHeight="1" s="276">
      <c r="A169" s="47" t="n"/>
    </row>
    <row r="170" ht="14.25" customHeight="1" s="276">
      <c r="A170" s="47" t="n"/>
    </row>
    <row r="171" ht="14.25" customHeight="1" s="276">
      <c r="A171" s="47" t="n"/>
    </row>
    <row r="172" ht="14.25" customHeight="1" s="276">
      <c r="A172" s="47" t="n"/>
    </row>
    <row r="173" ht="14.25" customHeight="1" s="276">
      <c r="A173" s="47" t="n"/>
    </row>
    <row r="174" ht="14.25" customHeight="1" s="276">
      <c r="A174" s="47" t="n"/>
    </row>
    <row r="175" ht="14.25" customHeight="1" s="276">
      <c r="A175" s="47" t="n"/>
    </row>
    <row r="176" ht="14.25" customHeight="1" s="276">
      <c r="A176" s="47" t="n"/>
    </row>
    <row r="177" ht="14.25" customHeight="1" s="276">
      <c r="A177" s="47" t="n"/>
    </row>
    <row r="178" ht="14.25" customHeight="1" s="276">
      <c r="A178" s="47" t="n"/>
    </row>
    <row r="179" ht="14.25" customHeight="1" s="276">
      <c r="A179" s="47" t="n"/>
    </row>
    <row r="180" ht="14.25" customHeight="1" s="276">
      <c r="A180" s="47" t="n"/>
    </row>
    <row r="181" ht="14.25" customHeight="1" s="276">
      <c r="A181" s="47" t="n"/>
    </row>
    <row r="182" ht="14.25" customHeight="1" s="276">
      <c r="A182" s="47" t="n"/>
    </row>
    <row r="183" ht="14.25" customHeight="1" s="276">
      <c r="A183" s="47" t="n"/>
    </row>
    <row r="184" ht="14.25" customHeight="1" s="276">
      <c r="A184" s="47" t="n"/>
    </row>
    <row r="185" ht="14.25" customHeight="1" s="276">
      <c r="A185" s="47" t="n"/>
    </row>
    <row r="186" ht="14.25" customHeight="1" s="276">
      <c r="A186" s="47" t="n"/>
    </row>
    <row r="187" ht="14.25" customHeight="1" s="276">
      <c r="A187" s="47" t="n"/>
    </row>
    <row r="188" ht="14.25" customHeight="1" s="276">
      <c r="A188" s="47" t="n"/>
    </row>
    <row r="189" ht="14.25" customHeight="1" s="276">
      <c r="A189" s="47" t="n"/>
    </row>
    <row r="190" ht="14.25" customHeight="1" s="276">
      <c r="A190" s="47" t="n"/>
    </row>
    <row r="191" ht="14.25" customHeight="1" s="276">
      <c r="A191" s="47" t="n"/>
    </row>
    <row r="192" ht="14.25" customHeight="1" s="276">
      <c r="A192" s="47" t="n"/>
    </row>
    <row r="193" ht="14.25" customHeight="1" s="276">
      <c r="A193" s="47" t="n"/>
    </row>
    <row r="194" ht="14.25" customHeight="1" s="276">
      <c r="A194" s="47" t="n"/>
    </row>
    <row r="195" ht="14.25" customHeight="1" s="276">
      <c r="A195" s="47" t="n"/>
    </row>
    <row r="196" ht="14.25" customHeight="1" s="276">
      <c r="A196" s="47" t="n"/>
    </row>
    <row r="197" ht="14.25" customHeight="1" s="276">
      <c r="A197" s="47" t="n"/>
    </row>
    <row r="198" ht="14.25" customHeight="1" s="276">
      <c r="A198" s="47" t="n"/>
    </row>
    <row r="199" ht="14.25" customHeight="1" s="276">
      <c r="A199" s="47" t="n"/>
    </row>
    <row r="200" ht="14.25" customHeight="1" s="276">
      <c r="A200" s="47" t="n"/>
    </row>
    <row r="201" ht="14.25" customHeight="1" s="276">
      <c r="A201" s="47" t="n"/>
    </row>
    <row r="202" ht="14.25" customHeight="1" s="276">
      <c r="A202" s="47" t="n"/>
    </row>
    <row r="203" ht="14.25" customHeight="1" s="276">
      <c r="A203" s="47" t="n"/>
    </row>
    <row r="204" ht="14.25" customHeight="1" s="276">
      <c r="A204" s="47" t="n"/>
    </row>
    <row r="205" ht="14.25" customHeight="1" s="276">
      <c r="A205" s="47" t="n"/>
    </row>
    <row r="206" ht="14.25" customHeight="1" s="276">
      <c r="A206" s="47" t="n"/>
    </row>
    <row r="207" ht="14.25" customHeight="1" s="276">
      <c r="A207" s="47" t="n"/>
    </row>
    <row r="208" ht="14.25" customHeight="1" s="276">
      <c r="A208" s="47" t="n"/>
    </row>
    <row r="209" ht="14.25" customHeight="1" s="276">
      <c r="A209" s="47" t="n"/>
    </row>
    <row r="210" ht="14.25" customHeight="1" s="276">
      <c r="A210" s="47" t="n"/>
    </row>
    <row r="211" ht="14.25" customHeight="1" s="276">
      <c r="A211" s="47" t="n"/>
    </row>
    <row r="212" ht="14.25" customHeight="1" s="276">
      <c r="A212" s="47" t="n"/>
    </row>
    <row r="213" ht="14.25" customHeight="1" s="276">
      <c r="A213" s="47" t="n"/>
    </row>
    <row r="214" ht="14.25" customHeight="1" s="276">
      <c r="A214" s="47" t="n"/>
    </row>
    <row r="215" ht="14.25" customHeight="1" s="276">
      <c r="A215" s="47" t="n"/>
    </row>
    <row r="216" ht="14.25" customHeight="1" s="276">
      <c r="A216" s="47" t="n"/>
    </row>
    <row r="217" ht="14.25" customHeight="1" s="276">
      <c r="A217" s="47" t="n"/>
    </row>
    <row r="218" ht="14.25" customHeight="1" s="276">
      <c r="A218" s="47" t="n"/>
    </row>
    <row r="219" ht="14.25" customHeight="1" s="276">
      <c r="A219" s="47" t="n"/>
    </row>
    <row r="220" ht="14.25" customHeight="1" s="276">
      <c r="A220" s="47" t="n"/>
    </row>
    <row r="221" ht="14.25" customHeight="1" s="276">
      <c r="A221" s="47" t="n"/>
    </row>
    <row r="222" ht="14.25" customHeight="1" s="276">
      <c r="A222" s="47" t="n"/>
    </row>
    <row r="223" ht="14.25" customHeight="1" s="276">
      <c r="A223" s="47" t="n"/>
    </row>
    <row r="224" ht="14.25" customHeight="1" s="276">
      <c r="A224" s="47" t="n"/>
    </row>
    <row r="225" ht="14.25" customHeight="1" s="276">
      <c r="A225" s="47" t="n"/>
    </row>
    <row r="226" ht="14.25" customHeight="1" s="276">
      <c r="A226" s="47" t="n"/>
    </row>
    <row r="227" ht="14.25" customHeight="1" s="276">
      <c r="A227" s="47" t="n"/>
    </row>
    <row r="228" ht="14.25" customHeight="1" s="276">
      <c r="A228" s="47" t="n"/>
    </row>
    <row r="229" ht="14.25" customHeight="1" s="276">
      <c r="A229" s="47" t="n"/>
    </row>
    <row r="230" ht="14.25" customHeight="1" s="276">
      <c r="A230" s="47" t="n"/>
    </row>
    <row r="231" ht="14.25" customHeight="1" s="276">
      <c r="A231" s="47" t="n"/>
    </row>
    <row r="232" ht="14.25" customHeight="1" s="276">
      <c r="A232" s="47" t="n"/>
    </row>
    <row r="233" ht="14.25" customHeight="1" s="276">
      <c r="A233" s="47" t="n"/>
    </row>
    <row r="234" ht="14.25" customHeight="1" s="276">
      <c r="A234" s="47" t="n"/>
    </row>
    <row r="235" ht="14.25" customHeight="1" s="276">
      <c r="A235" s="47" t="n"/>
    </row>
    <row r="236" ht="14.25" customHeight="1" s="276">
      <c r="A236" s="47" t="n"/>
    </row>
    <row r="237" ht="14.25" customHeight="1" s="276">
      <c r="A237" s="47" t="n"/>
    </row>
    <row r="238" ht="14.25" customHeight="1" s="276">
      <c r="A238" s="47" t="n"/>
    </row>
    <row r="239" ht="14.25" customHeight="1" s="276">
      <c r="A239" s="47" t="n"/>
    </row>
    <row r="240" ht="14.25" customHeight="1" s="276">
      <c r="A240" s="47" t="n"/>
    </row>
    <row r="241" ht="14.25" customHeight="1" s="276">
      <c r="A241" s="47" t="n"/>
    </row>
    <row r="242" ht="14.25" customHeight="1" s="276">
      <c r="A242" s="47" t="n"/>
    </row>
    <row r="243" ht="14.25" customHeight="1" s="276">
      <c r="A243" s="47" t="n"/>
    </row>
    <row r="244" ht="14.25" customHeight="1" s="276">
      <c r="A244" s="47" t="n"/>
    </row>
    <row r="245" ht="14.25" customHeight="1" s="276">
      <c r="A245" s="47" t="n"/>
    </row>
    <row r="246" ht="14.25" customHeight="1" s="276">
      <c r="A246" s="47" t="n"/>
    </row>
    <row r="247" ht="14.25" customHeight="1" s="276">
      <c r="A247" s="47" t="n"/>
    </row>
    <row r="248" ht="14.25" customHeight="1" s="276">
      <c r="A248" s="47" t="n"/>
    </row>
    <row r="249" ht="14.25" customHeight="1" s="276">
      <c r="A249" s="47" t="n"/>
    </row>
    <row r="250" ht="14.25" customHeight="1" s="276">
      <c r="A250" s="47" t="n"/>
    </row>
    <row r="251" ht="14.25" customHeight="1" s="276">
      <c r="A251" s="47" t="n"/>
    </row>
    <row r="252" ht="14.25" customHeight="1" s="276">
      <c r="A252" s="47" t="n"/>
    </row>
    <row r="253" ht="14.25" customHeight="1" s="276">
      <c r="A253" s="47" t="n"/>
    </row>
    <row r="254" ht="14.25" customHeight="1" s="276">
      <c r="A254" s="47" t="n"/>
    </row>
    <row r="255" ht="14.25" customHeight="1" s="276">
      <c r="A255" s="47" t="n"/>
    </row>
    <row r="256" ht="14.25" customHeight="1" s="276">
      <c r="A256" s="47" t="n"/>
    </row>
    <row r="257" ht="14.25" customHeight="1" s="276">
      <c r="A257" s="47" t="n"/>
    </row>
    <row r="258" ht="14.25" customHeight="1" s="276">
      <c r="A258" s="47" t="n"/>
    </row>
    <row r="259" ht="14.25" customHeight="1" s="276">
      <c r="A259" s="47" t="n"/>
    </row>
    <row r="260" ht="14.25" customHeight="1" s="276">
      <c r="A260" s="47" t="n"/>
    </row>
    <row r="261" ht="14.25" customHeight="1" s="276">
      <c r="A261" s="47" t="n"/>
    </row>
    <row r="262" ht="14.25" customHeight="1" s="276">
      <c r="A262" s="47" t="n"/>
    </row>
    <row r="263" ht="14.25" customHeight="1" s="276">
      <c r="A263" s="47" t="n"/>
    </row>
    <row r="264" ht="14.25" customHeight="1" s="276">
      <c r="A264" s="47" t="n"/>
    </row>
    <row r="265" ht="14.25" customHeight="1" s="276">
      <c r="A265" s="47" t="n"/>
    </row>
    <row r="266" ht="14.25" customHeight="1" s="276">
      <c r="A266" s="47" t="n"/>
    </row>
    <row r="267" ht="14.25" customHeight="1" s="276">
      <c r="A267" s="47" t="n"/>
    </row>
    <row r="268" ht="14.25" customHeight="1" s="276">
      <c r="A268" s="47" t="n"/>
    </row>
    <row r="269" ht="14.25" customHeight="1" s="276">
      <c r="A269" s="47" t="n"/>
    </row>
    <row r="270" ht="14.25" customHeight="1" s="276">
      <c r="A270" s="47" t="n"/>
    </row>
    <row r="271" ht="14.25" customHeight="1" s="276">
      <c r="A271" s="47" t="n"/>
    </row>
    <row r="272" ht="14.25" customHeight="1" s="276">
      <c r="A272" s="47" t="n"/>
    </row>
    <row r="273" ht="14.25" customHeight="1" s="276">
      <c r="A273" s="47" t="n"/>
    </row>
    <row r="274" ht="14.25" customHeight="1" s="276">
      <c r="A274" s="47" t="n"/>
    </row>
    <row r="275" ht="14.25" customHeight="1" s="276">
      <c r="A275" s="47" t="n"/>
    </row>
    <row r="276" ht="14.25" customHeight="1" s="276">
      <c r="A276" s="47" t="n"/>
    </row>
    <row r="277" ht="14.25" customHeight="1" s="276">
      <c r="A277" s="47" t="n"/>
    </row>
    <row r="278" ht="14.25" customHeight="1" s="276">
      <c r="A278" s="47" t="n"/>
    </row>
    <row r="279" ht="14.25" customHeight="1" s="276">
      <c r="A279" s="47" t="n"/>
    </row>
    <row r="280" ht="14.25" customHeight="1" s="276">
      <c r="A280" s="47" t="n"/>
    </row>
    <row r="281" ht="14.25" customHeight="1" s="276">
      <c r="A281" s="47" t="n"/>
    </row>
    <row r="282" ht="14.25" customHeight="1" s="276">
      <c r="A282" s="47" t="n"/>
    </row>
    <row r="283" ht="14.25" customHeight="1" s="276">
      <c r="A283" s="47" t="n"/>
    </row>
    <row r="284" ht="14.25" customHeight="1" s="276">
      <c r="A284" s="47" t="n"/>
    </row>
    <row r="285" ht="14.25" customHeight="1" s="276">
      <c r="A285" s="47" t="n"/>
    </row>
    <row r="286" ht="14.25" customHeight="1" s="276">
      <c r="A286" s="47" t="n"/>
    </row>
    <row r="287" ht="14.25" customHeight="1" s="276">
      <c r="A287" s="47" t="n"/>
    </row>
    <row r="288" ht="14.25" customHeight="1" s="276">
      <c r="A288" s="47" t="n"/>
    </row>
    <row r="289" ht="14.25" customHeight="1" s="276">
      <c r="A289" s="47" t="n"/>
    </row>
    <row r="290" ht="14.25" customHeight="1" s="276">
      <c r="A290" s="47" t="n"/>
    </row>
    <row r="291" ht="14.25" customHeight="1" s="276">
      <c r="A291" s="47" t="n"/>
    </row>
    <row r="292" ht="14.25" customHeight="1" s="276">
      <c r="A292" s="47" t="n"/>
    </row>
    <row r="293" ht="14.25" customHeight="1" s="276">
      <c r="A293" s="47" t="n"/>
    </row>
    <row r="294" ht="14.25" customHeight="1" s="276">
      <c r="A294" s="47" t="n"/>
    </row>
    <row r="295" ht="14.25" customHeight="1" s="276">
      <c r="A295" s="47" t="n"/>
    </row>
    <row r="296" ht="14.25" customHeight="1" s="276">
      <c r="A296" s="47" t="n"/>
    </row>
    <row r="297" ht="14.25" customHeight="1" s="276">
      <c r="A297" s="47" t="n"/>
    </row>
    <row r="298" ht="14.25" customHeight="1" s="276">
      <c r="A298" s="47" t="n"/>
    </row>
    <row r="299" ht="14.25" customHeight="1" s="276">
      <c r="A299" s="47" t="n"/>
    </row>
    <row r="300" ht="14.25" customHeight="1" s="276">
      <c r="A300" s="47" t="n"/>
    </row>
    <row r="301" ht="14.25" customHeight="1" s="276">
      <c r="A301" s="47" t="n"/>
    </row>
    <row r="302" ht="14.25" customHeight="1" s="276">
      <c r="A302" s="47" t="n"/>
    </row>
    <row r="303" ht="14.25" customHeight="1" s="276">
      <c r="A303" s="47" t="n"/>
    </row>
    <row r="304" ht="14.25" customHeight="1" s="276">
      <c r="A304" s="47" t="n"/>
    </row>
    <row r="305" ht="14.25" customHeight="1" s="276">
      <c r="A305" s="47" t="n"/>
    </row>
    <row r="306" ht="14.25" customHeight="1" s="276">
      <c r="A306" s="47" t="n"/>
    </row>
    <row r="307" ht="14.25" customHeight="1" s="276">
      <c r="A307" s="47" t="n"/>
    </row>
    <row r="308" ht="14.25" customHeight="1" s="276">
      <c r="A308" s="47" t="n"/>
    </row>
    <row r="309" ht="14.25" customHeight="1" s="276">
      <c r="A309" s="47" t="n"/>
    </row>
    <row r="310" ht="14.25" customHeight="1" s="276">
      <c r="A310" s="47" t="n"/>
    </row>
    <row r="311" ht="14.25" customHeight="1" s="276">
      <c r="A311" s="47" t="n"/>
    </row>
    <row r="312" ht="14.25" customHeight="1" s="276">
      <c r="A312" s="47" t="n"/>
    </row>
    <row r="313" ht="14.25" customHeight="1" s="276">
      <c r="A313" s="47" t="n"/>
    </row>
    <row r="314" ht="14.25" customHeight="1" s="276">
      <c r="A314" s="47" t="n"/>
    </row>
  </sheetData>
  <mergeCells count="20">
    <mergeCell ref="B11:D11"/>
    <mergeCell ref="B14:D14"/>
    <mergeCell ref="A22:D22"/>
    <mergeCell ref="B8:D8"/>
    <mergeCell ref="B17:D17"/>
    <mergeCell ref="B13:D13"/>
    <mergeCell ref="B10:D10"/>
    <mergeCell ref="A23:C23"/>
    <mergeCell ref="B9:D9"/>
    <mergeCell ref="B15:D15"/>
    <mergeCell ref="B6:D6"/>
    <mergeCell ref="B5:D5"/>
    <mergeCell ref="B19:C19"/>
    <mergeCell ref="B4:D4"/>
    <mergeCell ref="B7:D7"/>
    <mergeCell ref="A18:D18"/>
    <mergeCell ref="B3:D3"/>
    <mergeCell ref="B20:C20"/>
    <mergeCell ref="A21:D21"/>
    <mergeCell ref="B12:D12"/>
  </mergeCells>
  <conditionalFormatting sqref="E4:N23">
    <cfRule type="expression" priority="1" dxfId="0">
      <formula>ISBLANK(E4)</formula>
    </cfRule>
  </conditionalFormatting>
  <pageMargins left="0.5118110236220472" right="0.5118110236220472" top="0.7874015748031497" bottom="0.7874015748031497" header="0.3149606299212598" footer="0.3149606299212598"/>
  <pageSetup orientation="landscape" paperSize="9" scale="97" horizontalDpi="300" verticalDpi="300"/>
  <headerFooter>
    <oddHeader>&amp;C&amp;"Arial,Negrito"&amp;12 SGG Goiás 2026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O315"/>
  <sheetViews>
    <sheetView view="pageBreakPreview" topLeftCell="A7" zoomScaleNormal="100" zoomScaleSheetLayoutView="100" workbookViewId="0">
      <selection activeCell="E5" sqref="E5"/>
    </sheetView>
    <sheetView workbookViewId="1">
      <selection activeCell="A1" sqref="A1"/>
    </sheetView>
  </sheetViews>
  <sheetFormatPr baseColWidth="8" defaultColWidth="11.42578125" defaultRowHeight="12"/>
  <cols>
    <col width="4.85546875" bestFit="1" customWidth="1" style="59" min="1" max="1"/>
    <col width="19" customWidth="1" style="47" min="2" max="2"/>
    <col width="7" customWidth="1" style="47" min="3" max="3"/>
    <col width="10.42578125" customWidth="1" style="47" min="4" max="4"/>
    <col width="10.140625" customWidth="1" style="47" min="5" max="116"/>
    <col width="10.7109375" customWidth="1" style="47" min="117" max="124"/>
    <col width="9.5703125" customWidth="1" style="47" min="125" max="125"/>
    <col width="9.85546875" customWidth="1" style="47" min="126" max="126"/>
    <col width="9.140625" customWidth="1" style="47" min="127" max="127"/>
    <col width="9" customWidth="1" style="47" min="128" max="128"/>
    <col width="9.7109375" customWidth="1" style="47" min="129" max="129"/>
    <col width="10.28515625" customWidth="1" style="47" min="130" max="130"/>
    <col width="9.85546875" bestFit="1" customWidth="1" style="47" min="131" max="131"/>
    <col width="9" customWidth="1" style="47" min="132" max="132"/>
    <col width="9.85546875" bestFit="1" customWidth="1" style="47" min="133" max="133"/>
    <col width="9" customWidth="1" style="47" min="134" max="136"/>
    <col width="9.85546875" bestFit="1" customWidth="1" style="47" min="137" max="138"/>
    <col width="9.85546875" customWidth="1" style="47" min="139" max="139"/>
    <col width="11.7109375" customWidth="1" style="47" min="140" max="140"/>
    <col width="10.7109375" customWidth="1" style="47" min="141" max="141"/>
    <col width="10.140625" customWidth="1" style="47" min="142" max="142"/>
    <col width="9" customWidth="1" style="47" min="143" max="144"/>
    <col width="10.42578125" customWidth="1" style="47" min="145" max="145"/>
    <col width="11.42578125" customWidth="1" style="47" min="146" max="147"/>
    <col width="11.42578125" customWidth="1" style="47" min="148" max="16384"/>
  </cols>
  <sheetData>
    <row r="1" ht="18" customHeight="1" s="276">
      <c r="A1" s="43" t="inlineStr">
        <is>
          <t>N˚</t>
        </is>
      </c>
      <c r="B1" s="44" t="inlineStr">
        <is>
          <t>Receita</t>
        </is>
      </c>
      <c r="C1" s="45" t="n"/>
      <c r="D1" s="46" t="inlineStr">
        <is>
          <t>Até mai/26</t>
        </is>
      </c>
      <c r="E1" s="46" t="n">
        <v>46174</v>
      </c>
      <c r="F1" s="46" t="n">
        <v>46204</v>
      </c>
      <c r="G1" s="46" t="n">
        <v>46235</v>
      </c>
      <c r="H1" s="46" t="n">
        <v>46266</v>
      </c>
      <c r="I1" s="46" t="n">
        <v>46296</v>
      </c>
      <c r="J1" s="46" t="n">
        <v>46327</v>
      </c>
      <c r="K1" s="46" t="n">
        <v>46357</v>
      </c>
      <c r="L1" s="46" t="n">
        <v>46388</v>
      </c>
      <c r="M1" s="46" t="n">
        <v>46419</v>
      </c>
      <c r="N1" s="46" t="n">
        <v>46447</v>
      </c>
      <c r="O1" s="46" t="n">
        <v>46478</v>
      </c>
      <c r="P1" s="46" t="n">
        <v>46508</v>
      </c>
      <c r="Q1" s="46" t="n">
        <v>46539</v>
      </c>
      <c r="R1" s="46" t="n">
        <v>46569</v>
      </c>
      <c r="S1" s="46" t="n">
        <v>46600</v>
      </c>
      <c r="T1" s="46" t="n">
        <v>46631</v>
      </c>
      <c r="U1" s="46" t="n">
        <v>46661</v>
      </c>
      <c r="V1" s="46" t="n">
        <v>46692</v>
      </c>
      <c r="W1" s="46" t="inlineStr">
        <is>
          <t>Totais</t>
        </is>
      </c>
    </row>
    <row r="2" ht="18" customHeight="1" s="276">
      <c r="A2" s="48" t="n">
        <v>1</v>
      </c>
      <c r="B2" s="296" t="inlineStr">
        <is>
          <t>Parcelas</t>
        </is>
      </c>
      <c r="C2" s="255" t="n"/>
      <c r="D2" s="346">
        <f>E29</f>
        <v/>
      </c>
      <c r="E2" s="347" t="n">
        <v>176245.81</v>
      </c>
      <c r="F2" s="347" t="n">
        <v>208190.02</v>
      </c>
      <c r="G2" s="347" t="n">
        <v>229943.52</v>
      </c>
      <c r="H2" s="347" t="n">
        <v>218323.89</v>
      </c>
      <c r="I2" s="347" t="n">
        <v>224912.34</v>
      </c>
      <c r="J2" s="347" t="n">
        <v>213292.71</v>
      </c>
      <c r="K2" s="347" t="n">
        <v>230722.16</v>
      </c>
      <c r="L2" s="347" t="n">
        <v>213292.71</v>
      </c>
      <c r="M2" s="347" t="n">
        <v>213292.71</v>
      </c>
      <c r="N2" s="347" t="n">
        <v>224912.34</v>
      </c>
      <c r="O2" s="347" t="n">
        <v>213292.71</v>
      </c>
      <c r="P2" s="347" t="n">
        <v>169438.58</v>
      </c>
      <c r="Q2" s="347" t="n">
        <v>181058.21</v>
      </c>
      <c r="R2" s="347" t="n">
        <v>169438.58</v>
      </c>
      <c r="S2" s="347" t="n">
        <v>171815.44</v>
      </c>
      <c r="T2" s="347" t="n">
        <v>130477.8</v>
      </c>
      <c r="U2" s="347" t="n">
        <v>142097.42</v>
      </c>
      <c r="V2" s="347" t="n">
        <v>0</v>
      </c>
      <c r="W2" s="348">
        <f>SUM(D2:V2)</f>
        <v/>
      </c>
    </row>
    <row r="3" ht="18" customHeight="1" s="276">
      <c r="A3" s="51" t="inlineStr">
        <is>
          <t>N˚</t>
        </is>
      </c>
      <c r="B3" s="295" t="inlineStr">
        <is>
          <t>Despesas</t>
        </is>
      </c>
      <c r="C3" s="257" t="n"/>
      <c r="D3" s="51" t="inlineStr">
        <is>
          <t>% salário</t>
        </is>
      </c>
      <c r="E3" s="52">
        <f>E1</f>
        <v/>
      </c>
      <c r="F3" s="52">
        <f>F1</f>
        <v/>
      </c>
      <c r="G3" s="52">
        <f>G1</f>
        <v/>
      </c>
      <c r="H3" s="52">
        <f>H1</f>
        <v/>
      </c>
      <c r="I3" s="52">
        <f>I1</f>
        <v/>
      </c>
      <c r="J3" s="52">
        <f>J1</f>
        <v/>
      </c>
      <c r="K3" s="52">
        <f>K1</f>
        <v/>
      </c>
      <c r="L3" s="52">
        <f>L1</f>
        <v/>
      </c>
      <c r="M3" s="52">
        <f>M1</f>
        <v/>
      </c>
      <c r="N3" s="52">
        <f>N1</f>
        <v/>
      </c>
      <c r="O3" s="52">
        <f>O1</f>
        <v/>
      </c>
      <c r="P3" s="52">
        <f>P1</f>
        <v/>
      </c>
      <c r="Q3" s="52">
        <f>Q1</f>
        <v/>
      </c>
      <c r="R3" s="52">
        <f>R1</f>
        <v/>
      </c>
      <c r="S3" s="52">
        <f>S1</f>
        <v/>
      </c>
      <c r="T3" s="52">
        <f>T1</f>
        <v/>
      </c>
      <c r="U3" s="52">
        <f>U1</f>
        <v/>
      </c>
      <c r="V3" s="52">
        <f>V1</f>
        <v/>
      </c>
      <c r="W3" s="53" t="inlineStr">
        <is>
          <t>Totais</t>
        </is>
      </c>
    </row>
    <row r="4" ht="18" customFormat="1" customHeight="1" s="54">
      <c r="A4" s="48" t="n">
        <v>1</v>
      </c>
      <c r="B4" s="294" t="inlineStr">
        <is>
          <t>Adriane Merten</t>
        </is>
      </c>
      <c r="C4" s="257" t="n"/>
      <c r="D4" s="117" t="n">
        <v>1</v>
      </c>
      <c r="E4" s="349">
        <f>(8297.73+497.86)*$D$4</f>
        <v/>
      </c>
      <c r="F4" s="349">
        <f>(8297.73+497.86)*$D$4</f>
        <v/>
      </c>
      <c r="G4" s="349">
        <f>(8297.73+497.86)*$D$4</f>
        <v/>
      </c>
      <c r="H4" s="349">
        <f>(8297.73+497.86)*$D$4</f>
        <v/>
      </c>
      <c r="I4" s="349">
        <f>(8297.73+497.86)*$D$4</f>
        <v/>
      </c>
      <c r="J4" s="349">
        <f>(8297.73+497.86)*$D$4</f>
        <v/>
      </c>
      <c r="K4" s="349">
        <f>(8297.73+497.86)*$D$4</f>
        <v/>
      </c>
      <c r="L4" s="349">
        <f>(8297.73+497.86)*$D$4</f>
        <v/>
      </c>
      <c r="M4" s="349">
        <f>(8297.73+497.86)*$D$4</f>
        <v/>
      </c>
      <c r="N4" s="349">
        <f>((8297.73+497.86)*$D$4)*1.05</f>
        <v/>
      </c>
      <c r="O4" s="349">
        <f>((8297.73+497.86)*$D$4)*1.05</f>
        <v/>
      </c>
      <c r="P4" s="349">
        <f>((8297.73+497.86)*$D$4)*1.05</f>
        <v/>
      </c>
      <c r="Q4" s="349">
        <f>((8297.73+497.86)*$D$4)*1.05</f>
        <v/>
      </c>
      <c r="R4" s="349">
        <f>((8297.73+497.86)*$D$4)*1.05</f>
        <v/>
      </c>
      <c r="S4" s="349">
        <f>((8297.73+497.86)*$D$4)*1.05</f>
        <v/>
      </c>
      <c r="T4" s="349">
        <f>((8297.73+497.86)*$D$4)*1.05</f>
        <v/>
      </c>
      <c r="U4" s="349">
        <f>((8297.73+497.86)*$D$4)*1.05</f>
        <v/>
      </c>
      <c r="V4" s="349" t="n"/>
      <c r="W4" s="350">
        <f>SUM(E4:V4)</f>
        <v/>
      </c>
    </row>
    <row r="5" ht="18" customFormat="1" customHeight="1" s="54">
      <c r="A5" s="48">
        <f>A4+1</f>
        <v/>
      </c>
      <c r="B5" s="294" t="inlineStr">
        <is>
          <t>André Ricardo Hadlich</t>
        </is>
      </c>
      <c r="C5" s="257" t="n"/>
      <c r="D5" s="117" t="n">
        <v>0.5347</v>
      </c>
      <c r="E5" s="349">
        <f>(16009.77+2881.76)*$D$5</f>
        <v/>
      </c>
      <c r="F5" s="349">
        <f>(16009.77+2881.76)*$D$5</f>
        <v/>
      </c>
      <c r="G5" s="349">
        <f>(16009.77+2881.76)*$D$5</f>
        <v/>
      </c>
      <c r="H5" s="349">
        <f>(16009.77+2881.76)*$D$5</f>
        <v/>
      </c>
      <c r="I5" s="349">
        <f>(16009.77+2881.76)*$D$5</f>
        <v/>
      </c>
      <c r="J5" s="349">
        <f>(16009.77+2881.76)*$D$5</f>
        <v/>
      </c>
      <c r="K5" s="349">
        <f>(16009.77+2881.76)*$D$5</f>
        <v/>
      </c>
      <c r="L5" s="349">
        <f>(16009.77+2881.76)*$D$5</f>
        <v/>
      </c>
      <c r="M5" s="349">
        <f>(16009.77+2881.76)*$D$5</f>
        <v/>
      </c>
      <c r="N5" s="349">
        <f>((16009.77+2881.76)*$D$5)*1.05</f>
        <v/>
      </c>
      <c r="O5" s="349">
        <f>((16009.77+2881.76)*$D$5)*1.05</f>
        <v/>
      </c>
      <c r="P5" s="349">
        <f>((16009.77+2881.76)*$D$5)*1.05</f>
        <v/>
      </c>
      <c r="Q5" s="349">
        <f>((16009.77+2881.76)*$D$5)*1.05</f>
        <v/>
      </c>
      <c r="R5" s="349">
        <f>((16009.77+2881.76)*$D$5)*1.05</f>
        <v/>
      </c>
      <c r="S5" s="349">
        <f>((16009.77+2881.76)*$D$5)*1.05</f>
        <v/>
      </c>
      <c r="T5" s="349">
        <f>((16009.77+2881.76)*$D$5)*1.05</f>
        <v/>
      </c>
      <c r="U5" s="349">
        <f>((16009.77+2881.76)*$D$5)*1.05</f>
        <v/>
      </c>
      <c r="V5" s="349" t="n"/>
      <c r="W5" s="350">
        <f>SUM(E5:V5)</f>
        <v/>
      </c>
    </row>
    <row r="6" ht="18" customFormat="1" customHeight="1" s="54">
      <c r="A6" s="48">
        <f>A5+1</f>
        <v/>
      </c>
      <c r="B6" s="294" t="inlineStr">
        <is>
          <t>Bruno Maluche Neto</t>
        </is>
      </c>
      <c r="C6" s="257" t="n"/>
      <c r="D6" s="117" t="n">
        <v>0.2574</v>
      </c>
      <c r="E6" s="349">
        <f>(19765.28+4743.67)*$D$6</f>
        <v/>
      </c>
      <c r="F6" s="349">
        <f>(19765.28+4743.67)*$D$6</f>
        <v/>
      </c>
      <c r="G6" s="349">
        <f>(19765.28+4743.67)*$D$6</f>
        <v/>
      </c>
      <c r="H6" s="349">
        <f>(19765.28+4743.67)*$D$6</f>
        <v/>
      </c>
      <c r="I6" s="349">
        <f>(19765.28+4743.67)*$D$6</f>
        <v/>
      </c>
      <c r="J6" s="349">
        <f>(19765.28+4743.67)*$D$6</f>
        <v/>
      </c>
      <c r="K6" s="349">
        <f>(19765.28+4743.67)*$D$6</f>
        <v/>
      </c>
      <c r="L6" s="349">
        <f>(19765.28+4743.67)*$D$6</f>
        <v/>
      </c>
      <c r="M6" s="349">
        <f>(19765.28+4743.67)*$D$6</f>
        <v/>
      </c>
      <c r="N6" s="349">
        <f>((19765.28+4743.67)*$D$6)*1.05</f>
        <v/>
      </c>
      <c r="O6" s="349">
        <f>((19765.28+4743.67)*$D$6)*1.05</f>
        <v/>
      </c>
      <c r="P6" s="349">
        <f>((19765.28+4743.67)*$D$6)*1.05</f>
        <v/>
      </c>
      <c r="Q6" s="349">
        <f>((19765.28+4743.67)*$D$6)*1.05</f>
        <v/>
      </c>
      <c r="R6" s="349">
        <f>((19765.28+4743.67)*$D$6)*1.05</f>
        <v/>
      </c>
      <c r="S6" s="349">
        <f>((19765.28+4743.67)*$D$6)*1.05</f>
        <v/>
      </c>
      <c r="T6" s="349">
        <f>((19765.28+4743.67)*$D$6)*1.05</f>
        <v/>
      </c>
      <c r="U6" s="349">
        <f>((19765.28+4743.67)*$D$6)*1.05</f>
        <v/>
      </c>
      <c r="V6" s="349" t="n"/>
      <c r="W6" s="350">
        <f>SUM(E6:V6)</f>
        <v/>
      </c>
    </row>
    <row r="7" ht="18" customFormat="1" customHeight="1" s="54">
      <c r="A7" s="48">
        <f>A6+1</f>
        <v/>
      </c>
      <c r="B7" s="294" t="inlineStr">
        <is>
          <t>Daniela Vogel</t>
        </is>
      </c>
      <c r="C7" s="257" t="n"/>
      <c r="D7" s="117" t="n">
        <v>0.4584</v>
      </c>
      <c r="E7" s="349">
        <f>(8390.54+1510.3)*$D$7</f>
        <v/>
      </c>
      <c r="F7" s="349">
        <f>(8390.54+1510.3)*$D$7</f>
        <v/>
      </c>
      <c r="G7" s="349">
        <f>(8390.54+1510.3)*$D$7</f>
        <v/>
      </c>
      <c r="H7" s="349">
        <f>(8390.54+1510.3)*$D$7</f>
        <v/>
      </c>
      <c r="I7" s="349">
        <f>(8390.54+1510.3)*$D$7</f>
        <v/>
      </c>
      <c r="J7" s="349">
        <f>(8390.54+1510.3)*$D$7</f>
        <v/>
      </c>
      <c r="K7" s="349">
        <f>(8390.54+1510.3)*$D$7</f>
        <v/>
      </c>
      <c r="L7" s="349">
        <f>(8390.54+1510.3)*$D$7</f>
        <v/>
      </c>
      <c r="M7" s="349">
        <f>(8390.54+1510.3)*$D$7</f>
        <v/>
      </c>
      <c r="N7" s="349">
        <f>((8390.54+1510.3)*$D$7)*1.05</f>
        <v/>
      </c>
      <c r="O7" s="349">
        <f>((8390.54+1510.3)*$D$7)*1.05</f>
        <v/>
      </c>
      <c r="P7" s="349">
        <f>((8390.54+1510.3)*$D$7)*1.05</f>
        <v/>
      </c>
      <c r="Q7" s="349">
        <f>((8390.54+1510.3)*$D$7)*1.05</f>
        <v/>
      </c>
      <c r="R7" s="349">
        <f>((8390.54+1510.3)*$D$7)*1.05</f>
        <v/>
      </c>
      <c r="S7" s="349">
        <f>((8390.54+1510.3)*$D$7)*1.05</f>
        <v/>
      </c>
      <c r="T7" s="349">
        <f>((8390.54+1510.3)*$D$7)*1.05</f>
        <v/>
      </c>
      <c r="U7" s="349">
        <f>((8390.54+1510.3)*$D$7)*1.05</f>
        <v/>
      </c>
      <c r="V7" s="349" t="n"/>
      <c r="W7" s="350">
        <f>SUM(E7:V7)</f>
        <v/>
      </c>
    </row>
    <row r="8" ht="18" customFormat="1" customHeight="1" s="54">
      <c r="A8" s="48">
        <f>A7+1</f>
        <v/>
      </c>
      <c r="B8" s="294" t="inlineStr">
        <is>
          <t>Gabriel Lisboa Bordin</t>
        </is>
      </c>
      <c r="C8" s="257" t="n"/>
      <c r="D8" s="117" t="n">
        <v>1</v>
      </c>
      <c r="E8" s="349">
        <f>5610*$D$8</f>
        <v/>
      </c>
      <c r="F8" s="349">
        <f>5610*$D$8</f>
        <v/>
      </c>
      <c r="G8" s="349">
        <f>5610*$D$8</f>
        <v/>
      </c>
      <c r="H8" s="349">
        <f>5610*$D$8</f>
        <v/>
      </c>
      <c r="I8" s="349">
        <f>5610*$D$8</f>
        <v/>
      </c>
      <c r="J8" s="349">
        <f>5610*$D$8</f>
        <v/>
      </c>
      <c r="K8" s="349">
        <f>5610*$D$8</f>
        <v/>
      </c>
      <c r="L8" s="349">
        <f>5610*$D$8</f>
        <v/>
      </c>
      <c r="M8" s="349">
        <f>5610*$D$8</f>
        <v/>
      </c>
      <c r="N8" s="349">
        <f>(5610*$D$8)*1.05</f>
        <v/>
      </c>
      <c r="O8" s="349">
        <f>(5610*$D$8)*1.05</f>
        <v/>
      </c>
      <c r="P8" s="349">
        <f>(5610*$D$8)*1.05</f>
        <v/>
      </c>
      <c r="Q8" s="349">
        <f>(5610*$D$8)*1.05</f>
        <v/>
      </c>
      <c r="R8" s="349">
        <f>(5610*$D$8)*1.05</f>
        <v/>
      </c>
      <c r="S8" s="349">
        <f>(5610*$D$8)*1.05</f>
        <v/>
      </c>
      <c r="T8" s="349">
        <f>(5610*$D$8)*1.05</f>
        <v/>
      </c>
      <c r="U8" s="349">
        <f>(5610*$D$8)*1.05</f>
        <v/>
      </c>
      <c r="V8" s="349" t="n"/>
      <c r="W8" s="350">
        <f>SUM(E8:V8)</f>
        <v/>
      </c>
    </row>
    <row r="9" ht="18" customFormat="1" customHeight="1" s="54">
      <c r="A9" s="48">
        <f>A8+1</f>
        <v/>
      </c>
      <c r="B9" s="294" t="inlineStr">
        <is>
          <t>Marcelo Maciel Pereira</t>
        </is>
      </c>
      <c r="C9" s="257" t="n"/>
      <c r="D9" s="117" t="n">
        <v>0.7862</v>
      </c>
      <c r="E9" s="349">
        <f>(11583.15+2779.96)*$D$9</f>
        <v/>
      </c>
      <c r="F9" s="349">
        <f>(11583.15+2779.96)*$D$9</f>
        <v/>
      </c>
      <c r="G9" s="349">
        <f>(11583.15+2779.96)*$D$9</f>
        <v/>
      </c>
      <c r="H9" s="349">
        <f>(11583.15+2779.96)*$D$9</f>
        <v/>
      </c>
      <c r="I9" s="349">
        <f>(11583.15+2779.96)*$D$9</f>
        <v/>
      </c>
      <c r="J9" s="349">
        <f>(11583.15+2779.96)*$D$9</f>
        <v/>
      </c>
      <c r="K9" s="349">
        <f>(11583.15+2779.96)*$D$9</f>
        <v/>
      </c>
      <c r="L9" s="349">
        <f>(11583.15+2779.96)*$D$9</f>
        <v/>
      </c>
      <c r="M9" s="349">
        <f>(11583.15+2779.96)*$D$9</f>
        <v/>
      </c>
      <c r="N9" s="349">
        <f>((11583.15+2779.96)*$D$9)*1.05</f>
        <v/>
      </c>
      <c r="O9" s="349">
        <f>((11583.15+2779.96)*$D$9)*1.05</f>
        <v/>
      </c>
      <c r="P9" s="349">
        <f>((11583.15+2779.96)*$D$9)*1.05</f>
        <v/>
      </c>
      <c r="Q9" s="349">
        <f>((11583.15+2779.96)*$D$9)*1.05</f>
        <v/>
      </c>
      <c r="R9" s="349">
        <f>((11583.15+2779.96)*$D$9)*1.05</f>
        <v/>
      </c>
      <c r="S9" s="349">
        <f>((11583.15+2779.96)*$D$9)*1.05</f>
        <v/>
      </c>
      <c r="T9" s="349">
        <f>((11583.15+2779.96)*$D$9)*1.05</f>
        <v/>
      </c>
      <c r="U9" s="349">
        <f>((11583.15+2779.96)*$D$9)*1.05</f>
        <v/>
      </c>
      <c r="V9" s="349" t="n"/>
      <c r="W9" s="350">
        <f>SUM(E9:V9)</f>
        <v/>
      </c>
    </row>
    <row r="10" ht="18" customFormat="1" customHeight="1" s="54">
      <c r="A10" s="48">
        <f>A9+1</f>
        <v/>
      </c>
      <c r="B10" s="294" t="inlineStr">
        <is>
          <t>Thaísa Momm Bastos</t>
        </is>
      </c>
      <c r="C10" s="257" t="n"/>
      <c r="D10" s="117" t="n">
        <v>0.8144</v>
      </c>
      <c r="E10" s="349">
        <f>(6794.33+407.66)*$D$10</f>
        <v/>
      </c>
      <c r="F10" s="349">
        <f>(6794.33+407.66)*$D$10</f>
        <v/>
      </c>
      <c r="G10" s="349">
        <f>(6794.33+407.66)*$D$10</f>
        <v/>
      </c>
      <c r="H10" s="349">
        <f>(6794.33+407.66)*$D$10</f>
        <v/>
      </c>
      <c r="I10" s="349">
        <f>(6794.33+407.66)*$D$10</f>
        <v/>
      </c>
      <c r="J10" s="349">
        <f>(6794.33+407.66)*$D$10</f>
        <v/>
      </c>
      <c r="K10" s="349">
        <f>(6794.33+407.66)*$D$10</f>
        <v/>
      </c>
      <c r="L10" s="349">
        <f>(6794.33+407.66)*$D$10</f>
        <v/>
      </c>
      <c r="M10" s="349">
        <f>(6794.33+407.66)*$D$10</f>
        <v/>
      </c>
      <c r="N10" s="349">
        <f>((6794.33+407.66)*$D$10)*1.05</f>
        <v/>
      </c>
      <c r="O10" s="349">
        <f>((6794.33+407.66)*$D$10)*1.05</f>
        <v/>
      </c>
      <c r="P10" s="349">
        <f>((6794.33+407.66)*$D$10)*1.05</f>
        <v/>
      </c>
      <c r="Q10" s="349">
        <f>((6794.33+407.66)*$D$10)*1.05</f>
        <v/>
      </c>
      <c r="R10" s="349">
        <f>((6794.33+407.66)*$D$10)*1.05</f>
        <v/>
      </c>
      <c r="S10" s="349">
        <f>((6794.33+407.66)*$D$10)*1.05</f>
        <v/>
      </c>
      <c r="T10" s="349">
        <f>((6794.33+407.66)*$D$10)*1.05</f>
        <v/>
      </c>
      <c r="U10" s="349">
        <f>((6794.33+407.66)*$D$10)*1.05</f>
        <v/>
      </c>
      <c r="V10" s="349" t="n"/>
      <c r="W10" s="350">
        <f>SUM(E10:V10)</f>
        <v/>
      </c>
    </row>
    <row r="11" ht="18" customFormat="1" customHeight="1" s="54">
      <c r="A11" s="48">
        <f>A10+1</f>
        <v/>
      </c>
      <c r="B11" s="280" t="inlineStr">
        <is>
          <t>Encargos s/pessoal contratado</t>
        </is>
      </c>
      <c r="C11" s="257" t="n"/>
      <c r="D11" s="255" t="n"/>
      <c r="E11" s="349">
        <f>SUM(E4:E10)*0.85</f>
        <v/>
      </c>
      <c r="F11" s="349">
        <f>SUM(F4:F10)*0.85</f>
        <v/>
      </c>
      <c r="G11" s="349">
        <f>SUM(G4:G10)*0.85</f>
        <v/>
      </c>
      <c r="H11" s="349">
        <f>SUM(H4:H10)*0.85</f>
        <v/>
      </c>
      <c r="I11" s="349">
        <f>SUM(I4:I10)*0.85</f>
        <v/>
      </c>
      <c r="J11" s="349">
        <f>SUM(J4:J10)*0.85</f>
        <v/>
      </c>
      <c r="K11" s="349">
        <f>SUM(K4:K10)*0.85</f>
        <v/>
      </c>
      <c r="L11" s="349">
        <f>SUM(L4:L10)*0.85</f>
        <v/>
      </c>
      <c r="M11" s="349">
        <f>SUM(M4:M10)*0.85</f>
        <v/>
      </c>
      <c r="N11" s="349">
        <f>SUM(N4:N10)*0.85</f>
        <v/>
      </c>
      <c r="O11" s="349">
        <f>SUM(O4:O10)*0.85</f>
        <v/>
      </c>
      <c r="P11" s="349">
        <f>SUM(P4:P10)*0.85</f>
        <v/>
      </c>
      <c r="Q11" s="349">
        <f>SUM(Q4:Q10)*0.85</f>
        <v/>
      </c>
      <c r="R11" s="349">
        <f>SUM(R4:R10)*0.85</f>
        <v/>
      </c>
      <c r="S11" s="349">
        <f>SUM(S4:S10)*0.85</f>
        <v/>
      </c>
      <c r="T11" s="349">
        <f>SUM(T4:T10)*0.85</f>
        <v/>
      </c>
      <c r="U11" s="349">
        <f>SUM(U4:U10)*0.85</f>
        <v/>
      </c>
      <c r="V11" s="349">
        <f>SUM(V4:V10)*0.85</f>
        <v/>
      </c>
      <c r="W11" s="350">
        <f>SUM(E11:V11)</f>
        <v/>
      </c>
    </row>
    <row r="12" ht="18" customFormat="1" customHeight="1" s="54">
      <c r="A12" s="48">
        <f>A11+1</f>
        <v/>
      </c>
      <c r="B12" s="280" t="inlineStr">
        <is>
          <t>Arthur Rosa dos Santos</t>
        </is>
      </c>
      <c r="C12" s="257" t="n"/>
      <c r="D12" s="255" t="n"/>
      <c r="E12" s="349" t="n">
        <v>1050</v>
      </c>
      <c r="F12" s="349" t="n">
        <v>1050</v>
      </c>
      <c r="G12" s="349" t="n">
        <v>1050</v>
      </c>
      <c r="H12" s="349" t="n">
        <v>1050</v>
      </c>
      <c r="I12" s="349" t="n"/>
      <c r="J12" s="349" t="n"/>
      <c r="K12" s="349" t="n"/>
      <c r="L12" s="349" t="n"/>
      <c r="M12" s="349" t="n"/>
      <c r="N12" s="349" t="n"/>
      <c r="O12" s="349" t="n"/>
      <c r="P12" s="349" t="n"/>
      <c r="Q12" s="349" t="n"/>
      <c r="R12" s="349" t="n"/>
      <c r="S12" s="349" t="n"/>
      <c r="T12" s="349" t="n"/>
      <c r="U12" s="349" t="n"/>
      <c r="V12" s="349" t="n"/>
      <c r="W12" s="350">
        <f>SUM(E12:V12)</f>
        <v/>
      </c>
    </row>
    <row r="13" ht="18" customFormat="1" customHeight="1" s="54">
      <c r="A13" s="48">
        <f>A12+1</f>
        <v/>
      </c>
      <c r="B13" s="280" t="inlineStr">
        <is>
          <t>Helena Schiemann Maia</t>
        </is>
      </c>
      <c r="C13" s="257" t="n"/>
      <c r="D13" s="255" t="n"/>
      <c r="E13" s="349" t="n">
        <v>1050</v>
      </c>
      <c r="F13" s="349" t="n">
        <v>1050</v>
      </c>
      <c r="G13" s="349" t="n"/>
      <c r="H13" s="349" t="n"/>
      <c r="I13" s="349" t="n"/>
      <c r="J13" s="349" t="n"/>
      <c r="K13" s="349" t="n"/>
      <c r="L13" s="349" t="n"/>
      <c r="M13" s="349" t="n"/>
      <c r="N13" s="349" t="n"/>
      <c r="O13" s="349" t="n"/>
      <c r="P13" s="349" t="n"/>
      <c r="Q13" s="349" t="n"/>
      <c r="R13" s="349" t="n"/>
      <c r="S13" s="349" t="n"/>
      <c r="T13" s="349" t="n"/>
      <c r="U13" s="349" t="n"/>
      <c r="V13" s="349" t="n"/>
      <c r="W13" s="350">
        <f>SUM(E13:V13)</f>
        <v/>
      </c>
    </row>
    <row r="14" ht="18" customFormat="1" customHeight="1" s="54">
      <c r="A14" s="48">
        <f>A13+1</f>
        <v/>
      </c>
      <c r="B14" s="280" t="inlineStr">
        <is>
          <t>Henrique Rafael Sousa de Oliveira</t>
        </is>
      </c>
      <c r="C14" s="257" t="n"/>
      <c r="D14" s="255" t="n"/>
      <c r="E14" s="349" t="n">
        <v>1050</v>
      </c>
      <c r="F14" s="349" t="n">
        <v>1050</v>
      </c>
      <c r="G14" s="349" t="n">
        <v>1050</v>
      </c>
      <c r="H14" s="349" t="n">
        <v>1050</v>
      </c>
      <c r="I14" s="349" t="n"/>
      <c r="J14" s="349" t="n"/>
      <c r="K14" s="349" t="n"/>
      <c r="L14" s="349" t="n"/>
      <c r="M14" s="349" t="n"/>
      <c r="N14" s="349" t="n"/>
      <c r="O14" s="349" t="n"/>
      <c r="P14" s="349" t="n"/>
      <c r="Q14" s="349" t="n"/>
      <c r="R14" s="349" t="n"/>
      <c r="S14" s="349" t="n"/>
      <c r="T14" s="349" t="n"/>
      <c r="U14" s="349" t="n"/>
      <c r="V14" s="349" t="n"/>
      <c r="W14" s="350">
        <f>SUM(E14:V14)</f>
        <v/>
      </c>
    </row>
    <row r="15" ht="18" customFormat="1" customHeight="1" s="54">
      <c r="A15" s="48">
        <f>A14+1</f>
        <v/>
      </c>
      <c r="B15" s="254" t="inlineStr">
        <is>
          <t>Serviços de Terceiros</t>
        </is>
      </c>
      <c r="C15" s="257" t="n"/>
      <c r="D15" s="255" t="n"/>
      <c r="E15" s="349" t="n">
        <v>3500</v>
      </c>
      <c r="F15" s="349" t="n">
        <v>3500</v>
      </c>
      <c r="G15" s="349" t="n">
        <v>3500</v>
      </c>
      <c r="H15" s="349" t="n">
        <v>3500</v>
      </c>
      <c r="I15" s="349" t="n">
        <v>3500</v>
      </c>
      <c r="J15" s="349" t="n">
        <v>3500</v>
      </c>
      <c r="K15" s="349" t="n">
        <v>3500</v>
      </c>
      <c r="L15" s="349" t="n">
        <v>3500</v>
      </c>
      <c r="M15" s="349" t="n">
        <v>3500</v>
      </c>
      <c r="N15" s="349" t="n">
        <v>3500</v>
      </c>
      <c r="O15" s="349" t="n">
        <v>3500</v>
      </c>
      <c r="P15" s="349" t="n">
        <v>3500</v>
      </c>
      <c r="Q15" s="349" t="n">
        <v>3500</v>
      </c>
      <c r="R15" s="349" t="n">
        <v>3500</v>
      </c>
      <c r="S15" s="349" t="n">
        <v>3500</v>
      </c>
      <c r="T15" s="349" t="n">
        <v>3500</v>
      </c>
      <c r="U15" s="349" t="n">
        <v>3500</v>
      </c>
      <c r="V15" s="349" t="n"/>
      <c r="W15" s="350">
        <f>SUM(E15:V15)</f>
        <v/>
      </c>
    </row>
    <row r="16" ht="18" customFormat="1" customHeight="1" s="54">
      <c r="A16" s="48">
        <f>A15+1</f>
        <v/>
      </c>
      <c r="B16" s="254" t="inlineStr">
        <is>
          <t>Passagens</t>
        </is>
      </c>
      <c r="C16" s="257" t="n"/>
      <c r="D16" s="255" t="n"/>
      <c r="E16" s="349" t="n">
        <v>4000</v>
      </c>
      <c r="F16" s="349" t="n">
        <v>4000</v>
      </c>
      <c r="G16" s="349" t="n">
        <v>4000</v>
      </c>
      <c r="H16" s="349" t="n">
        <v>4000</v>
      </c>
      <c r="I16" s="349" t="n">
        <v>4000</v>
      </c>
      <c r="J16" s="349" t="n">
        <v>4000</v>
      </c>
      <c r="K16" s="349" t="n">
        <v>4000</v>
      </c>
      <c r="L16" s="349" t="n">
        <v>4000</v>
      </c>
      <c r="M16" s="349" t="n">
        <v>4000</v>
      </c>
      <c r="N16" s="349" t="n">
        <v>4000</v>
      </c>
      <c r="O16" s="349" t="n">
        <v>4000</v>
      </c>
      <c r="P16" s="349" t="n">
        <v>4000</v>
      </c>
      <c r="Q16" s="349" t="n">
        <v>4000</v>
      </c>
      <c r="R16" s="349" t="n">
        <v>4000</v>
      </c>
      <c r="S16" s="349" t="n">
        <v>4000</v>
      </c>
      <c r="T16" s="349" t="n">
        <v>4000</v>
      </c>
      <c r="U16" s="349" t="n">
        <v>4000</v>
      </c>
      <c r="V16" s="349" t="n"/>
      <c r="W16" s="350">
        <f>SUM(E16:V16)</f>
        <v/>
      </c>
    </row>
    <row r="17" ht="18" customFormat="1" customHeight="1" s="54">
      <c r="A17" s="48">
        <f>A16+1</f>
        <v/>
      </c>
      <c r="B17" s="86" t="inlineStr">
        <is>
          <t>Diárias</t>
        </is>
      </c>
      <c r="C17" s="87" t="n"/>
      <c r="D17" s="88" t="n"/>
      <c r="E17" s="349">
        <f>15300/18</f>
        <v/>
      </c>
      <c r="F17" s="349">
        <f>15300/18</f>
        <v/>
      </c>
      <c r="G17" s="349">
        <f>15300/18</f>
        <v/>
      </c>
      <c r="H17" s="349">
        <f>15300/18</f>
        <v/>
      </c>
      <c r="I17" s="349">
        <f>15300/18</f>
        <v/>
      </c>
      <c r="J17" s="349">
        <f>15300/18</f>
        <v/>
      </c>
      <c r="K17" s="349">
        <f>15300/18</f>
        <v/>
      </c>
      <c r="L17" s="349">
        <f>15300/18</f>
        <v/>
      </c>
      <c r="M17" s="349">
        <f>15300/18</f>
        <v/>
      </c>
      <c r="N17" s="349">
        <f>15300/18</f>
        <v/>
      </c>
      <c r="O17" s="349">
        <f>15300/18</f>
        <v/>
      </c>
      <c r="P17" s="349">
        <f>15300/18</f>
        <v/>
      </c>
      <c r="Q17" s="349">
        <f>15300/18</f>
        <v/>
      </c>
      <c r="R17" s="349">
        <f>15300/18</f>
        <v/>
      </c>
      <c r="S17" s="349">
        <f>15300/18</f>
        <v/>
      </c>
      <c r="T17" s="349">
        <f>15300/18</f>
        <v/>
      </c>
      <c r="U17" s="349">
        <f>15300/18</f>
        <v/>
      </c>
      <c r="V17" s="349" t="n"/>
      <c r="W17" s="350">
        <f>SUM(E17:V17)</f>
        <v/>
      </c>
    </row>
    <row r="18" ht="18" customFormat="1" customHeight="1" s="54">
      <c r="A18" s="48">
        <f>A17+1</f>
        <v/>
      </c>
      <c r="B18" s="280" t="inlineStr">
        <is>
          <t>Materrial de Consumo</t>
        </is>
      </c>
      <c r="C18" s="257" t="n"/>
      <c r="D18" s="255" t="n"/>
      <c r="E18" s="349">
        <f>41400/18</f>
        <v/>
      </c>
      <c r="F18" s="349">
        <f>41400/18</f>
        <v/>
      </c>
      <c r="G18" s="349">
        <f>41400/18</f>
        <v/>
      </c>
      <c r="H18" s="349">
        <f>41400/18</f>
        <v/>
      </c>
      <c r="I18" s="349">
        <f>41400/18</f>
        <v/>
      </c>
      <c r="J18" s="349">
        <f>41400/18</f>
        <v/>
      </c>
      <c r="K18" s="349">
        <f>41400/18</f>
        <v/>
      </c>
      <c r="L18" s="349">
        <f>41400/18</f>
        <v/>
      </c>
      <c r="M18" s="349">
        <f>41400/18</f>
        <v/>
      </c>
      <c r="N18" s="349">
        <f>41400/18</f>
        <v/>
      </c>
      <c r="O18" s="349">
        <f>41400/18</f>
        <v/>
      </c>
      <c r="P18" s="349">
        <f>41400/18</f>
        <v/>
      </c>
      <c r="Q18" s="349">
        <f>41400/18</f>
        <v/>
      </c>
      <c r="R18" s="349">
        <f>41400/18</f>
        <v/>
      </c>
      <c r="S18" s="349">
        <f>41400/18</f>
        <v/>
      </c>
      <c r="T18" s="349">
        <f>41400/18</f>
        <v/>
      </c>
      <c r="U18" s="349">
        <f>41400/18</f>
        <v/>
      </c>
      <c r="V18" s="349" t="n"/>
      <c r="W18" s="350">
        <f>SUM(E18:V18)</f>
        <v/>
      </c>
    </row>
    <row r="19" ht="18" customHeight="1" s="276">
      <c r="A19" s="282" t="n"/>
      <c r="B19" s="257" t="n"/>
      <c r="C19" s="257" t="n"/>
      <c r="D19" s="255" t="n"/>
      <c r="E19" s="353">
        <f>SUM(E4:E18)</f>
        <v/>
      </c>
      <c r="F19" s="353">
        <f>SUM(F4:F18)</f>
        <v/>
      </c>
      <c r="G19" s="353">
        <f>SUM(G4:G18)</f>
        <v/>
      </c>
      <c r="H19" s="353">
        <f>SUM(H4:H18)</f>
        <v/>
      </c>
      <c r="I19" s="353">
        <f>SUM(I4:I18)</f>
        <v/>
      </c>
      <c r="J19" s="353">
        <f>SUM(J4:J18)</f>
        <v/>
      </c>
      <c r="K19" s="353">
        <f>SUM(K4:K18)</f>
        <v/>
      </c>
      <c r="L19" s="353">
        <f>SUM(L4:L18)</f>
        <v/>
      </c>
      <c r="M19" s="353">
        <f>SUM(M4:M18)</f>
        <v/>
      </c>
      <c r="N19" s="353">
        <f>SUM(N4:N18)</f>
        <v/>
      </c>
      <c r="O19" s="353">
        <f>SUM(O4:O18)</f>
        <v/>
      </c>
      <c r="P19" s="353">
        <f>SUM(P4:P18)</f>
        <v/>
      </c>
      <c r="Q19" s="353">
        <f>SUM(Q4:Q18)</f>
        <v/>
      </c>
      <c r="R19" s="353">
        <f>SUM(R4:R18)</f>
        <v/>
      </c>
      <c r="S19" s="353">
        <f>SUM(S4:S18)</f>
        <v/>
      </c>
      <c r="T19" s="353">
        <f>SUM(T4:T18)</f>
        <v/>
      </c>
      <c r="U19" s="353">
        <f>SUM(U4:U18)</f>
        <v/>
      </c>
      <c r="V19" s="353">
        <f>SUM(V4:V18)</f>
        <v/>
      </c>
      <c r="W19" s="353">
        <f>SUM(W4:W18)</f>
        <v/>
      </c>
    </row>
    <row r="20" ht="18" customHeight="1" s="276">
      <c r="A20" s="55">
        <f>A18+1</f>
        <v/>
      </c>
      <c r="B20" s="280" t="inlineStr">
        <is>
          <t>Fundação de Apoio</t>
        </is>
      </c>
      <c r="C20" s="255" t="n"/>
      <c r="D20" s="56" t="n">
        <v>0.0817263548</v>
      </c>
      <c r="E20" s="351">
        <f>E2*$D$20</f>
        <v/>
      </c>
      <c r="F20" s="351">
        <f>F2*$D$20</f>
        <v/>
      </c>
      <c r="G20" s="351">
        <f>G2*$D$20</f>
        <v/>
      </c>
      <c r="H20" s="351">
        <f>H2*$D$20</f>
        <v/>
      </c>
      <c r="I20" s="351">
        <f>I2*$D$20</f>
        <v/>
      </c>
      <c r="J20" s="351">
        <f>J2*$D$20</f>
        <v/>
      </c>
      <c r="K20" s="351">
        <f>K2*$D$20</f>
        <v/>
      </c>
      <c r="L20" s="351">
        <f>L2*$D$20</f>
        <v/>
      </c>
      <c r="M20" s="351">
        <f>M2*$D$20</f>
        <v/>
      </c>
      <c r="N20" s="351">
        <f>N2*$D$20</f>
        <v/>
      </c>
      <c r="O20" s="351">
        <f>O2*$D$20</f>
        <v/>
      </c>
      <c r="P20" s="351">
        <f>P2*$D$20</f>
        <v/>
      </c>
      <c r="Q20" s="351">
        <f>Q2*$D$20</f>
        <v/>
      </c>
      <c r="R20" s="351">
        <f>R2*$D$20</f>
        <v/>
      </c>
      <c r="S20" s="351">
        <f>S2*$D$20</f>
        <v/>
      </c>
      <c r="T20" s="351">
        <f>T2*$D$20</f>
        <v/>
      </c>
      <c r="U20" s="351">
        <f>U2*$D$20</f>
        <v/>
      </c>
      <c r="V20" s="350">
        <f>V2*$D$20</f>
        <v/>
      </c>
      <c r="W20" s="350">
        <f>SUM(E20:V20)</f>
        <v/>
      </c>
    </row>
    <row r="21" ht="18" customHeight="1" s="276">
      <c r="A21" s="55">
        <f>A20+1</f>
        <v/>
      </c>
      <c r="B21" s="280" t="inlineStr">
        <is>
          <t>Universidade Federal</t>
        </is>
      </c>
      <c r="C21" s="255" t="n"/>
      <c r="D21" s="56" t="n">
        <v>0.08347942228999999</v>
      </c>
      <c r="E21" s="351">
        <f>E2*$D$21</f>
        <v/>
      </c>
      <c r="F21" s="351">
        <f>F2*$D$21</f>
        <v/>
      </c>
      <c r="G21" s="351">
        <f>G2*$D$21</f>
        <v/>
      </c>
      <c r="H21" s="351">
        <f>H2*$D$21</f>
        <v/>
      </c>
      <c r="I21" s="351">
        <f>I2*$D$21</f>
        <v/>
      </c>
      <c r="J21" s="351">
        <f>J2*$D$21</f>
        <v/>
      </c>
      <c r="K21" s="351">
        <f>K2*$D$21</f>
        <v/>
      </c>
      <c r="L21" s="351">
        <f>L2*$D$21</f>
        <v/>
      </c>
      <c r="M21" s="351">
        <f>M2*$D$21</f>
        <v/>
      </c>
      <c r="N21" s="351">
        <f>N2*$D$21</f>
        <v/>
      </c>
      <c r="O21" s="351">
        <f>O2*$D$21</f>
        <v/>
      </c>
      <c r="P21" s="351">
        <f>P2*$D$21</f>
        <v/>
      </c>
      <c r="Q21" s="351">
        <f>Q2*$D$21</f>
        <v/>
      </c>
      <c r="R21" s="351">
        <f>R2*$D$21</f>
        <v/>
      </c>
      <c r="S21" s="351">
        <f>S2*$D$21</f>
        <v/>
      </c>
      <c r="T21" s="351">
        <f>T2*$D$21</f>
        <v/>
      </c>
      <c r="U21" s="351">
        <f>U2*$D$21</f>
        <v/>
      </c>
      <c r="V21" s="351">
        <f>V2*$D$21</f>
        <v/>
      </c>
      <c r="W21" s="350">
        <f>SUM(E21:V21)</f>
        <v/>
      </c>
    </row>
    <row r="22" ht="18" customHeight="1" s="276">
      <c r="A22" s="282" t="inlineStr">
        <is>
          <t>subtotal2</t>
        </is>
      </c>
      <c r="B22" s="257" t="n"/>
      <c r="C22" s="257" t="n"/>
      <c r="D22" s="255" t="n"/>
      <c r="E22" s="353">
        <f>SUM(E20:E21)</f>
        <v/>
      </c>
      <c r="F22" s="353">
        <f>SUM(F20:F21)</f>
        <v/>
      </c>
      <c r="G22" s="353">
        <f>SUM(G20:G21)</f>
        <v/>
      </c>
      <c r="H22" s="353">
        <f>SUM(H20:H21)</f>
        <v/>
      </c>
      <c r="I22" s="353">
        <f>SUM(I20:I21)</f>
        <v/>
      </c>
      <c r="J22" s="353">
        <f>SUM(J20:J21)</f>
        <v/>
      </c>
      <c r="K22" s="353">
        <f>SUM(K20:K21)</f>
        <v/>
      </c>
      <c r="L22" s="353">
        <f>SUM(L20:L21)</f>
        <v/>
      </c>
      <c r="M22" s="353">
        <f>SUM(M20:M21)</f>
        <v/>
      </c>
      <c r="N22" s="353">
        <f>SUM(N20:N21)</f>
        <v/>
      </c>
      <c r="O22" s="353">
        <f>SUM(O20:O21)</f>
        <v/>
      </c>
      <c r="P22" s="353">
        <f>SUM(P20:P21)</f>
        <v/>
      </c>
      <c r="Q22" s="353">
        <f>SUM(Q20:Q21)</f>
        <v/>
      </c>
      <c r="R22" s="353">
        <f>SUM(R20:R21)</f>
        <v/>
      </c>
      <c r="S22" s="353">
        <f>SUM(S20:S21)</f>
        <v/>
      </c>
      <c r="T22" s="353">
        <f>SUM(T20:T21)</f>
        <v/>
      </c>
      <c r="U22" s="353">
        <f>SUM(U20:U21)</f>
        <v/>
      </c>
      <c r="V22" s="353">
        <f>SUM(V20:V21)</f>
        <v/>
      </c>
      <c r="W22" s="353">
        <f>SUM(W20:W21)</f>
        <v/>
      </c>
    </row>
    <row r="23" ht="18" customHeight="1" s="276">
      <c r="A23" s="285" t="inlineStr">
        <is>
          <t>Total Despesas</t>
        </is>
      </c>
      <c r="B23" s="257" t="n"/>
      <c r="C23" s="257" t="n"/>
      <c r="D23" s="255" t="n"/>
      <c r="E23" s="355">
        <f>E22+E19</f>
        <v/>
      </c>
      <c r="F23" s="355">
        <f>F22+F19</f>
        <v/>
      </c>
      <c r="G23" s="355">
        <f>G22+G19</f>
        <v/>
      </c>
      <c r="H23" s="355">
        <f>H22+H19</f>
        <v/>
      </c>
      <c r="I23" s="355">
        <f>I22+I19</f>
        <v/>
      </c>
      <c r="J23" s="355">
        <f>J22+J19</f>
        <v/>
      </c>
      <c r="K23" s="355">
        <f>K22+K19</f>
        <v/>
      </c>
      <c r="L23" s="355">
        <f>L22+L19</f>
        <v/>
      </c>
      <c r="M23" s="355">
        <f>M22+M19</f>
        <v/>
      </c>
      <c r="N23" s="355">
        <f>N22+N19</f>
        <v/>
      </c>
      <c r="O23" s="355">
        <f>O22+O19</f>
        <v/>
      </c>
      <c r="P23" s="355">
        <f>P22+P19</f>
        <v/>
      </c>
      <c r="Q23" s="355">
        <f>Q22+Q19</f>
        <v/>
      </c>
      <c r="R23" s="355">
        <f>R22+R19</f>
        <v/>
      </c>
      <c r="S23" s="355">
        <f>S22+S19</f>
        <v/>
      </c>
      <c r="T23" s="355">
        <f>T22+T19</f>
        <v/>
      </c>
      <c r="U23" s="355">
        <f>U22+U19</f>
        <v/>
      </c>
      <c r="V23" s="355">
        <f>V22+V19</f>
        <v/>
      </c>
      <c r="W23" s="355">
        <f>SUM(E23:V23)</f>
        <v/>
      </c>
    </row>
    <row r="24" ht="18" customHeight="1" s="276">
      <c r="A24" s="356" t="inlineStr">
        <is>
          <t>Saldos</t>
        </is>
      </c>
      <c r="B24" s="257" t="n"/>
      <c r="C24" s="255" t="n"/>
      <c r="D24" s="57">
        <f>H29</f>
        <v/>
      </c>
      <c r="E24" s="57">
        <f>D24+E2-E23</f>
        <v/>
      </c>
      <c r="F24" s="57">
        <f>E24+F2-F23</f>
        <v/>
      </c>
      <c r="G24" s="57">
        <f>F24+G2-G23</f>
        <v/>
      </c>
      <c r="H24" s="57">
        <f>G24+H2-H23</f>
        <v/>
      </c>
      <c r="I24" s="57">
        <f>H24+I2-I23</f>
        <v/>
      </c>
      <c r="J24" s="57">
        <f>I24+J2-J23</f>
        <v/>
      </c>
      <c r="K24" s="57">
        <f>J24+K2-K23</f>
        <v/>
      </c>
      <c r="L24" s="57">
        <f>K24+L2-L23</f>
        <v/>
      </c>
      <c r="M24" s="57">
        <f>L24+M2-M23</f>
        <v/>
      </c>
      <c r="N24" s="57">
        <f>M24+N2-N23</f>
        <v/>
      </c>
      <c r="O24" s="57">
        <f>N24+O2-O23</f>
        <v/>
      </c>
      <c r="P24" s="57">
        <f>O24+P2-P23</f>
        <v/>
      </c>
      <c r="Q24" s="57">
        <f>P24+Q2-Q23</f>
        <v/>
      </c>
      <c r="R24" s="57">
        <f>Q24+R2-R23</f>
        <v/>
      </c>
      <c r="S24" s="57">
        <f>R24+S2-S23</f>
        <v/>
      </c>
      <c r="T24" s="57">
        <f>S24+T2-T23</f>
        <v/>
      </c>
      <c r="U24" s="57">
        <f>T24+U2-U23</f>
        <v/>
      </c>
      <c r="V24" s="57">
        <f>U24+V2-V23</f>
        <v/>
      </c>
      <c r="W24" s="57">
        <f>D24+W2-D2-W23</f>
        <v/>
      </c>
    </row>
    <row r="25" ht="13.35" customHeight="1" s="276">
      <c r="B25" s="60" t="n"/>
      <c r="C25" s="357" t="n"/>
      <c r="D25" s="357" t="n"/>
      <c r="E25" s="368" t="n"/>
      <c r="F25" s="368" t="n"/>
      <c r="G25" s="368" t="n"/>
      <c r="H25" s="368" t="n"/>
      <c r="I25" s="368" t="n"/>
      <c r="J25" s="368" t="n"/>
      <c r="K25" s="368" t="n"/>
      <c r="L25" s="368" t="n"/>
      <c r="M25" s="368" t="n"/>
      <c r="N25" s="368" t="n"/>
      <c r="O25" s="368" t="n"/>
      <c r="P25" s="368" t="n"/>
      <c r="Q25" s="368" t="n"/>
      <c r="R25" s="368" t="n"/>
      <c r="S25" s="368" t="n"/>
      <c r="T25" s="368" t="n"/>
      <c r="U25" s="368" t="n"/>
      <c r="V25" s="368" t="n"/>
      <c r="W25" s="368" t="n"/>
      <c r="X25" s="368" t="n"/>
      <c r="Y25" s="368" t="n"/>
      <c r="Z25" s="368" t="n"/>
      <c r="AA25" s="368" t="n"/>
      <c r="AB25" s="368" t="n"/>
      <c r="AC25" s="368" t="n"/>
      <c r="AD25" s="368" t="n"/>
      <c r="AE25" s="368" t="n"/>
      <c r="AF25" s="368" t="n"/>
      <c r="AG25" s="368" t="n"/>
      <c r="AH25" s="368" t="n"/>
      <c r="AI25" s="368" t="n"/>
      <c r="AJ25" s="368" t="n"/>
      <c r="AK25" s="368" t="n"/>
      <c r="AL25" s="368" t="n"/>
      <c r="AM25" s="368" t="n"/>
      <c r="AN25" s="368" t="n"/>
      <c r="AO25" s="368" t="n"/>
      <c r="AP25" s="368" t="n"/>
      <c r="AQ25" s="368" t="n"/>
      <c r="AR25" s="368" t="n"/>
      <c r="AS25" s="368" t="n"/>
      <c r="AT25" s="368" t="n"/>
      <c r="AU25" s="368" t="n"/>
      <c r="AV25" s="368" t="n"/>
      <c r="AW25" s="368" t="n"/>
      <c r="AX25" s="368" t="n"/>
      <c r="AY25" s="368" t="n"/>
      <c r="AZ25" s="368" t="n"/>
      <c r="BA25" s="368" t="n"/>
      <c r="BB25" s="368" t="n"/>
      <c r="BC25" s="368" t="n"/>
      <c r="BD25" s="368" t="n"/>
      <c r="BE25" s="368" t="n"/>
      <c r="BF25" s="368" t="n"/>
      <c r="BG25" s="368" t="n"/>
      <c r="BH25" s="358" t="n"/>
      <c r="BI25" s="358" t="n"/>
      <c r="BJ25" s="358" t="n"/>
      <c r="BK25" s="358" t="n"/>
      <c r="BL25" s="358" t="n"/>
      <c r="BM25" s="358" t="n"/>
      <c r="BN25" s="358" t="n"/>
      <c r="BO25" s="358" t="n"/>
      <c r="BP25" s="358" t="n"/>
      <c r="BQ25" s="358" t="n"/>
      <c r="BR25" s="358" t="n"/>
      <c r="BS25" s="358" t="n"/>
      <c r="BT25" s="358" t="n"/>
      <c r="BU25" s="358" t="n"/>
      <c r="BV25" s="358" t="n"/>
      <c r="BW25" s="358" t="n"/>
      <c r="BX25" s="358" t="n"/>
      <c r="BY25" s="358" t="n"/>
      <c r="BZ25" s="358" t="n"/>
      <c r="CA25" s="358" t="n"/>
      <c r="CB25" s="358" t="n"/>
      <c r="CC25" s="358" t="n"/>
      <c r="CD25" s="358" t="n"/>
      <c r="CE25" s="358" t="n"/>
      <c r="CF25" s="358" t="n"/>
      <c r="CG25" s="358" t="n"/>
      <c r="CH25" s="358" t="n"/>
      <c r="CI25" s="358" t="n"/>
      <c r="CJ25" s="358" t="n"/>
      <c r="CK25" s="358" t="n"/>
      <c r="CL25" s="358" t="n"/>
      <c r="CM25" s="358" t="n"/>
      <c r="CN25" s="358" t="n"/>
      <c r="CO25" s="358" t="n"/>
      <c r="CP25" s="358" t="n"/>
      <c r="CQ25" s="358" t="n"/>
      <c r="CR25" s="358" t="n"/>
      <c r="CS25" s="358" t="n"/>
      <c r="CT25" s="358" t="n"/>
      <c r="CU25" s="358" t="n"/>
      <c r="CV25" s="358" t="n"/>
      <c r="CW25" s="358" t="n"/>
      <c r="CX25" s="358" t="n"/>
      <c r="CY25" s="358" t="n"/>
      <c r="CZ25" s="358" t="n"/>
      <c r="DA25" s="358" t="n"/>
      <c r="DB25" s="358" t="n"/>
      <c r="DC25" s="358" t="n"/>
      <c r="DD25" s="358" t="n"/>
      <c r="DE25" s="358" t="n"/>
      <c r="DF25" s="358" t="n"/>
      <c r="DG25" s="358" t="n"/>
      <c r="DH25" s="358" t="n"/>
      <c r="DI25" s="358" t="n"/>
      <c r="DJ25" s="358" t="n"/>
      <c r="DK25" s="358" t="n"/>
      <c r="DL25" s="358" t="n"/>
      <c r="DM25" s="358" t="n"/>
      <c r="DN25" s="358" t="n"/>
      <c r="DO25" s="358" t="n"/>
      <c r="DP25" s="358" t="n"/>
      <c r="DQ25" s="359" t="n"/>
    </row>
    <row r="26" ht="13.35" customHeight="1" s="276">
      <c r="A26" s="61" t="inlineStr">
        <is>
          <t>N˚</t>
        </is>
      </c>
      <c r="B26" s="62" t="inlineStr">
        <is>
          <t>Rubricas</t>
        </is>
      </c>
      <c r="C26" s="61" t="inlineStr">
        <is>
          <t>Perc.</t>
        </is>
      </c>
      <c r="D26" s="61" t="inlineStr">
        <is>
          <t>Previsto</t>
        </is>
      </c>
      <c r="E26" s="61" t="inlineStr">
        <is>
          <t>Recebido</t>
        </is>
      </c>
      <c r="F26" s="61" t="inlineStr">
        <is>
          <t>A Receber</t>
        </is>
      </c>
      <c r="G26" s="61" t="inlineStr">
        <is>
          <t>Gasto</t>
        </is>
      </c>
      <c r="H26" s="61" t="inlineStr">
        <is>
          <t>Saldo</t>
        </is>
      </c>
      <c r="I26" s="360" t="inlineStr">
        <is>
          <t>A gastar</t>
        </is>
      </c>
      <c r="J26" s="361" t="inlineStr">
        <is>
          <t>Result.</t>
        </is>
      </c>
      <c r="K26" s="363" t="n"/>
      <c r="L26" s="83" t="inlineStr">
        <is>
          <t>Inicio</t>
        </is>
      </c>
      <c r="M26" s="369" t="n">
        <v>46148</v>
      </c>
      <c r="N26" s="370" t="n"/>
      <c r="O26" s="370" t="n"/>
      <c r="P26" s="370" t="n"/>
      <c r="Q26" s="370" t="n"/>
      <c r="R26" s="370" t="n"/>
      <c r="S26" s="370" t="n"/>
      <c r="T26" s="370" t="n"/>
      <c r="U26" s="370" t="n"/>
      <c r="V26" s="363" t="n"/>
      <c r="W26" s="363" t="n"/>
      <c r="X26" s="363" t="n"/>
      <c r="Y26" s="363" t="n"/>
      <c r="Z26" s="363" t="n"/>
      <c r="AA26" s="363" t="n"/>
      <c r="AB26" s="363" t="n"/>
      <c r="AC26" s="363" t="n"/>
      <c r="AD26" s="363" t="n"/>
      <c r="AE26" s="363" t="n"/>
      <c r="AF26" s="363" t="n"/>
      <c r="AG26" s="363" t="n"/>
      <c r="AH26" s="363" t="n"/>
      <c r="AI26" s="363" t="n"/>
      <c r="AJ26" s="363" t="n"/>
      <c r="AK26" s="363" t="n"/>
      <c r="AL26" s="363" t="n"/>
      <c r="AM26" s="363" t="n"/>
      <c r="AN26" s="363" t="n"/>
      <c r="AO26" s="363" t="n"/>
      <c r="AP26" s="363" t="n"/>
      <c r="AQ26" s="363" t="n"/>
      <c r="AR26" s="363" t="n"/>
      <c r="AS26" s="363" t="n"/>
      <c r="AT26" s="363" t="n"/>
      <c r="AU26" s="363" t="n"/>
      <c r="AV26" s="363" t="n"/>
      <c r="AW26" s="363" t="n"/>
      <c r="AX26" s="363" t="n"/>
      <c r="AY26" s="363" t="n"/>
      <c r="AZ26" s="363" t="n"/>
      <c r="BA26" s="363" t="n"/>
      <c r="BB26" s="363" t="n"/>
      <c r="BC26" s="363" t="n"/>
      <c r="BD26" s="363" t="n"/>
      <c r="BE26" s="363" t="n"/>
      <c r="BF26" s="363" t="n"/>
      <c r="BG26" s="363" t="n"/>
      <c r="BH26" s="363" t="n"/>
      <c r="BI26" s="363" t="n"/>
      <c r="BJ26" s="363" t="n"/>
      <c r="BK26" s="363" t="n"/>
      <c r="BL26" s="363" t="n"/>
      <c r="BM26" s="363" t="n"/>
      <c r="BN26" s="363" t="n"/>
      <c r="BO26" s="363" t="n"/>
      <c r="BP26" s="363" t="n"/>
      <c r="BQ26" s="363" t="n"/>
      <c r="BR26" s="363" t="n"/>
      <c r="BS26" s="363" t="n"/>
      <c r="BT26" s="363" t="n"/>
      <c r="BU26" s="363" t="n"/>
      <c r="BV26" s="363" t="n"/>
      <c r="BW26" s="363" t="n"/>
      <c r="BX26" s="363" t="n"/>
      <c r="BY26" s="363" t="n"/>
      <c r="BZ26" s="363" t="n"/>
      <c r="CA26" s="363" t="n"/>
      <c r="CB26" s="363" t="n"/>
      <c r="CC26" s="363" t="n"/>
      <c r="CD26" s="363" t="n"/>
      <c r="CE26" s="363" t="n"/>
      <c r="CF26" s="363" t="n"/>
      <c r="CG26" s="363" t="n"/>
      <c r="CH26" s="363" t="n"/>
      <c r="CI26" s="363" t="n"/>
      <c r="CJ26" s="363" t="n"/>
      <c r="CK26" s="363" t="n"/>
      <c r="CL26" s="363" t="n"/>
      <c r="CM26" s="363" t="n"/>
      <c r="CN26" s="363" t="n"/>
      <c r="CO26" s="363" t="n"/>
      <c r="CP26" s="363" t="n"/>
      <c r="CQ26" s="363" t="n"/>
      <c r="CR26" s="363" t="n"/>
      <c r="CS26" s="363" t="n"/>
      <c r="CT26" s="363" t="n"/>
      <c r="CU26" s="363" t="n"/>
      <c r="CV26" s="363" t="n"/>
      <c r="CW26" s="363" t="n"/>
      <c r="CX26" s="363" t="n"/>
      <c r="CY26" s="363" t="n"/>
      <c r="CZ26" s="363" t="n"/>
      <c r="DA26" s="363" t="n"/>
      <c r="DB26" s="363" t="n"/>
      <c r="DC26" s="363" t="n"/>
      <c r="DD26" s="363" t="n"/>
      <c r="DE26" s="363" t="n"/>
      <c r="DF26" s="363" t="n"/>
      <c r="DG26" s="363" t="n"/>
      <c r="DH26" s="363" t="n"/>
      <c r="DI26" s="363" t="n"/>
      <c r="DJ26" s="363" t="n"/>
      <c r="DK26" s="363" t="n"/>
      <c r="DL26" s="363" t="n"/>
      <c r="DM26" s="363" t="n"/>
      <c r="DN26" s="363" t="n"/>
      <c r="DO26" s="363" t="n"/>
      <c r="DP26" s="363" t="n"/>
      <c r="DQ26" s="362" t="n"/>
      <c r="DR26" s="362" t="n"/>
      <c r="DS26" s="362" t="n"/>
      <c r="DT26" s="362" t="n"/>
      <c r="DU26" s="362" t="n"/>
      <c r="DV26" s="362" t="n"/>
      <c r="DW26" s="362" t="n"/>
      <c r="DX26" s="362" t="n"/>
      <c r="DY26" s="362" t="n"/>
      <c r="DZ26" s="362" t="n"/>
      <c r="EA26" s="362" t="n"/>
      <c r="EB26" s="362" t="n"/>
      <c r="EC26" s="362" t="n"/>
      <c r="ED26" s="362" t="n"/>
      <c r="EE26" s="362" t="n"/>
      <c r="EF26" s="362" t="n"/>
      <c r="EG26" s="362" t="n"/>
      <c r="EH26" s="362" t="n"/>
      <c r="EI26" s="362" t="n"/>
      <c r="EJ26" s="362" t="n"/>
      <c r="EK26" s="362" t="n"/>
      <c r="EL26" s="362" t="n"/>
      <c r="EM26" s="363" t="n"/>
      <c r="EN26" s="363" t="n"/>
      <c r="EO26" s="363" t="n"/>
    </row>
    <row r="27" ht="13.35" customHeight="1" s="276">
      <c r="A27" s="55" t="n">
        <v>1</v>
      </c>
      <c r="B27" s="254" t="inlineStr">
        <is>
          <t>Aplicação em Fundos</t>
        </is>
      </c>
      <c r="C27" s="63" t="n">
        <v>0</v>
      </c>
      <c r="D27" s="64" t="n">
        <v>0</v>
      </c>
      <c r="E27" s="65" t="n">
        <v>0</v>
      </c>
      <c r="F27" s="66" t="n">
        <v>0</v>
      </c>
      <c r="G27" s="64" t="n">
        <v>0</v>
      </c>
      <c r="H27" s="67" t="n">
        <v>0</v>
      </c>
      <c r="I27" s="68" t="n">
        <v>0</v>
      </c>
      <c r="J27" s="69">
        <f>H27-I27</f>
        <v/>
      </c>
      <c r="K27" s="71" t="n"/>
      <c r="L27" s="83" t="inlineStr">
        <is>
          <t xml:space="preserve">Duração </t>
        </is>
      </c>
      <c r="M27" s="84" t="inlineStr">
        <is>
          <t>18 meses</t>
        </is>
      </c>
      <c r="N27" s="116" t="n"/>
      <c r="O27" s="116" t="n"/>
      <c r="P27" s="116" t="n"/>
      <c r="Q27" s="116" t="n"/>
      <c r="R27" s="116" t="n"/>
      <c r="S27" s="116" t="n"/>
      <c r="T27" s="116" t="n"/>
      <c r="U27" s="116" t="n"/>
      <c r="V27" s="71" t="n"/>
      <c r="W27" s="71" t="n"/>
      <c r="X27" s="71" t="n"/>
      <c r="Y27" s="71" t="n"/>
      <c r="Z27" s="71" t="n"/>
      <c r="AA27" s="71" t="n"/>
      <c r="AB27" s="71" t="n"/>
      <c r="AC27" s="71" t="n"/>
      <c r="AD27" s="71" t="n"/>
      <c r="AE27" s="71" t="n"/>
      <c r="AF27" s="71" t="n"/>
      <c r="AG27" s="71" t="n"/>
      <c r="AH27" s="71" t="n"/>
      <c r="AI27" s="71" t="n"/>
      <c r="AJ27" s="71" t="n"/>
      <c r="AK27" s="71" t="n"/>
      <c r="AL27" s="71" t="n"/>
      <c r="AM27" s="71" t="n"/>
      <c r="AN27" s="71" t="n"/>
      <c r="AO27" s="71" t="n"/>
      <c r="AP27" s="71" t="n"/>
      <c r="AQ27" s="71" t="n"/>
      <c r="AR27" s="71" t="n"/>
      <c r="AS27" s="71" t="n"/>
      <c r="AT27" s="71" t="n"/>
      <c r="AU27" s="71" t="n"/>
      <c r="AV27" s="71" t="n"/>
      <c r="AW27" s="71" t="n"/>
      <c r="AX27" s="71" t="n"/>
      <c r="AY27" s="71" t="n"/>
      <c r="AZ27" s="71" t="n"/>
      <c r="BA27" s="71" t="n"/>
      <c r="BB27" s="71" t="n"/>
      <c r="BC27" s="71" t="n"/>
      <c r="BD27" s="71" t="n"/>
      <c r="BE27" s="71" t="n"/>
      <c r="BF27" s="71" t="n"/>
      <c r="BG27" s="71" t="n"/>
      <c r="BH27" s="71" t="n"/>
      <c r="BI27" s="71" t="n"/>
      <c r="BJ27" s="71" t="n"/>
      <c r="BK27" s="71" t="n"/>
      <c r="BL27" s="71" t="n"/>
      <c r="BM27" s="71" t="n"/>
      <c r="BN27" s="71" t="n"/>
      <c r="BO27" s="71" t="n"/>
      <c r="BP27" s="71" t="n"/>
      <c r="BQ27" s="71" t="n"/>
      <c r="BR27" s="71" t="n"/>
      <c r="BS27" s="71" t="n"/>
      <c r="BT27" s="71" t="n"/>
      <c r="BU27" s="71" t="n"/>
      <c r="BV27" s="71" t="n"/>
      <c r="BW27" s="71" t="n"/>
      <c r="BX27" s="71" t="n"/>
      <c r="BY27" s="71" t="n"/>
      <c r="BZ27" s="71" t="n"/>
      <c r="CA27" s="71" t="n"/>
      <c r="CB27" s="71" t="n"/>
      <c r="CC27" s="71" t="n"/>
      <c r="CD27" s="71" t="n"/>
      <c r="CE27" s="71" t="n"/>
      <c r="CF27" s="71" t="n"/>
      <c r="CG27" s="71" t="n"/>
      <c r="CH27" s="71" t="n"/>
      <c r="CI27" s="71" t="n"/>
      <c r="CJ27" s="71" t="n"/>
      <c r="CK27" s="71" t="n"/>
      <c r="CL27" s="71" t="n"/>
      <c r="CM27" s="71" t="n"/>
      <c r="CN27" s="71" t="n"/>
      <c r="CO27" s="71" t="n"/>
      <c r="CP27" s="71" t="n"/>
      <c r="CQ27" s="71" t="n"/>
      <c r="CR27" s="71" t="n"/>
      <c r="CS27" s="71" t="n"/>
      <c r="CT27" s="71" t="n"/>
      <c r="CU27" s="71" t="n"/>
      <c r="CV27" s="71" t="n"/>
      <c r="CW27" s="71" t="n"/>
      <c r="CX27" s="71" t="n"/>
      <c r="CY27" s="71" t="n"/>
      <c r="CZ27" s="71" t="n"/>
      <c r="DA27" s="71" t="n"/>
      <c r="DB27" s="71" t="n"/>
      <c r="DC27" s="71" t="n"/>
      <c r="DD27" s="71" t="n"/>
      <c r="DE27" s="71" t="n"/>
      <c r="DF27" s="71" t="n"/>
      <c r="DG27" s="71" t="n"/>
      <c r="DH27" s="71" t="n"/>
      <c r="DI27" s="71" t="n"/>
      <c r="DJ27" s="71" t="n"/>
      <c r="DK27" s="71" t="n"/>
      <c r="DL27" s="71" t="n"/>
      <c r="DM27" s="71" t="n"/>
      <c r="DN27" s="71" t="n"/>
      <c r="DO27" s="71" t="n"/>
      <c r="DP27" s="71" t="n"/>
      <c r="DQ27" s="70" t="n"/>
      <c r="DR27" s="70" t="n"/>
      <c r="DS27" s="70" t="n"/>
      <c r="DT27" s="70" t="n"/>
      <c r="DU27" s="70" t="n"/>
      <c r="DV27" s="70" t="n"/>
      <c r="DW27" s="70" t="n"/>
      <c r="DX27" s="70" t="n"/>
      <c r="DY27" s="70" t="n"/>
      <c r="DZ27" s="70" t="n"/>
      <c r="EA27" s="70" t="n"/>
      <c r="EB27" s="70" t="n"/>
      <c r="EC27" s="70" t="n"/>
      <c r="ED27" s="70" t="n"/>
      <c r="EE27" s="70" t="n"/>
      <c r="EF27" s="70" t="n"/>
      <c r="EG27" s="70" t="n"/>
      <c r="EH27" s="70" t="n"/>
      <c r="EI27" s="70" t="n"/>
      <c r="EJ27" s="70" t="n"/>
      <c r="EK27" s="70" t="n"/>
      <c r="EL27" s="70" t="n"/>
      <c r="EM27" s="71" t="n"/>
      <c r="EN27" s="71" t="n"/>
      <c r="EO27" s="71" t="n"/>
    </row>
    <row r="28" ht="13.35" customHeight="1" s="276">
      <c r="A28" s="55">
        <f>A27+1</f>
        <v/>
      </c>
      <c r="B28" s="72" t="inlineStr">
        <is>
          <t>Custos do |Projeto</t>
        </is>
      </c>
      <c r="C28" s="63">
        <f>D28/22661520</f>
        <v/>
      </c>
      <c r="D28" s="64" t="n">
        <v>3484532.14</v>
      </c>
      <c r="E28" s="65" t="n">
        <v>153785.19</v>
      </c>
      <c r="F28" s="66">
        <f>D28-E28</f>
        <v/>
      </c>
      <c r="G28" s="64">
        <f>48676.54-153785</f>
        <v/>
      </c>
      <c r="H28" s="67">
        <f>E28+G28</f>
        <v/>
      </c>
      <c r="I28" s="68">
        <f>-W23</f>
        <v/>
      </c>
      <c r="J28" s="69">
        <f>E28+F28+G28+I28</f>
        <v/>
      </c>
      <c r="K28" s="71" t="n"/>
      <c r="L28" s="83" t="inlineStr">
        <is>
          <t>Fim</t>
        </is>
      </c>
      <c r="M28" s="369" t="n">
        <v>46697</v>
      </c>
      <c r="N28" s="370" t="n"/>
      <c r="O28" s="370" t="n"/>
      <c r="P28" s="370" t="n"/>
      <c r="Q28" s="370" t="n"/>
      <c r="R28" s="370" t="n"/>
      <c r="S28" s="370" t="n"/>
      <c r="T28" s="370" t="n"/>
      <c r="U28" s="370" t="n"/>
      <c r="V28" s="71" t="n"/>
      <c r="W28" s="71" t="n"/>
      <c r="X28" s="71" t="n"/>
      <c r="Y28" s="71" t="n"/>
      <c r="Z28" s="71" t="n"/>
      <c r="AA28" s="71" t="n"/>
      <c r="AB28" s="71" t="n"/>
      <c r="AC28" s="71" t="n"/>
      <c r="AD28" s="71" t="n"/>
      <c r="AE28" s="71" t="n"/>
      <c r="AF28" s="71" t="n"/>
      <c r="AG28" s="71" t="n"/>
      <c r="AH28" s="71" t="n"/>
      <c r="AI28" s="71" t="n"/>
      <c r="AJ28" s="71" t="n"/>
      <c r="AK28" s="71" t="n"/>
      <c r="AL28" s="71" t="n"/>
      <c r="AM28" s="71" t="n"/>
      <c r="AN28" s="71" t="n"/>
      <c r="AO28" s="71" t="n"/>
      <c r="AP28" s="71" t="n"/>
      <c r="AQ28" s="71" t="n"/>
      <c r="AR28" s="71" t="n"/>
      <c r="AS28" s="71" t="n"/>
      <c r="AT28" s="71" t="n"/>
      <c r="AU28" s="71" t="n"/>
      <c r="AV28" s="71" t="n"/>
      <c r="AW28" s="71" t="n"/>
      <c r="AX28" s="71" t="n"/>
      <c r="AY28" s="71" t="n"/>
      <c r="AZ28" s="71" t="n"/>
      <c r="BA28" s="71" t="n"/>
      <c r="BB28" s="71" t="n"/>
      <c r="BC28" s="71" t="n"/>
      <c r="BD28" s="71" t="n"/>
      <c r="BE28" s="71" t="n"/>
      <c r="BF28" s="71" t="n"/>
      <c r="BG28" s="71" t="n"/>
      <c r="BH28" s="71" t="n"/>
      <c r="BI28" s="71" t="n"/>
      <c r="BJ28" s="71" t="n"/>
      <c r="BK28" s="71" t="n"/>
      <c r="BL28" s="71" t="n"/>
      <c r="BM28" s="71" t="n"/>
      <c r="BN28" s="71" t="n"/>
      <c r="BO28" s="71" t="n"/>
      <c r="BP28" s="71" t="n"/>
      <c r="BQ28" s="71" t="n"/>
      <c r="BR28" s="71" t="n"/>
      <c r="BS28" s="71" t="n"/>
      <c r="BT28" s="71" t="n"/>
      <c r="BU28" s="71" t="n"/>
      <c r="BV28" s="71" t="n"/>
      <c r="BW28" s="71" t="n"/>
      <c r="BX28" s="71" t="n"/>
      <c r="BY28" s="71" t="n"/>
      <c r="BZ28" s="71" t="n"/>
      <c r="CA28" s="71" t="n"/>
      <c r="CB28" s="71" t="n"/>
      <c r="CC28" s="71" t="n"/>
      <c r="CD28" s="71" t="n"/>
      <c r="CE28" s="71" t="n"/>
      <c r="CF28" s="71" t="n"/>
      <c r="CG28" s="71" t="n"/>
      <c r="CH28" s="71" t="n"/>
      <c r="CI28" s="71" t="n"/>
      <c r="CJ28" s="71" t="n"/>
      <c r="CK28" s="71" t="n"/>
      <c r="CL28" s="71" t="n"/>
      <c r="CM28" s="71" t="n"/>
      <c r="CN28" s="71" t="n"/>
      <c r="CO28" s="71" t="n"/>
      <c r="CP28" s="71" t="n"/>
      <c r="CQ28" s="71" t="n"/>
      <c r="CR28" s="71" t="n"/>
      <c r="CS28" s="71" t="n"/>
      <c r="CT28" s="71" t="n"/>
      <c r="CU28" s="71" t="n"/>
      <c r="CV28" s="71" t="n"/>
      <c r="CW28" s="71" t="n"/>
      <c r="CX28" s="71" t="n"/>
      <c r="CY28" s="71" t="n"/>
      <c r="CZ28" s="71" t="n"/>
      <c r="DA28" s="71" t="n"/>
      <c r="DB28" s="71" t="n"/>
      <c r="DC28" s="71" t="n"/>
      <c r="DD28" s="71" t="n"/>
      <c r="DE28" s="71" t="n"/>
      <c r="DF28" s="71" t="n"/>
      <c r="DG28" s="71" t="n"/>
      <c r="DH28" s="71" t="n"/>
      <c r="DI28" s="71" t="n"/>
      <c r="DJ28" s="71" t="n"/>
      <c r="DK28" s="71" t="n"/>
      <c r="DL28" s="71" t="n"/>
      <c r="DM28" s="71" t="n"/>
      <c r="DN28" s="71" t="n"/>
      <c r="DO28" s="71" t="n"/>
      <c r="DP28" s="71" t="n"/>
      <c r="DQ28" s="70" t="n"/>
      <c r="DR28" s="70" t="n"/>
      <c r="DS28" s="70" t="n"/>
      <c r="DT28" s="70" t="n"/>
      <c r="DU28" s="70" t="n"/>
      <c r="DV28" s="70" t="n"/>
      <c r="DW28" s="70" t="n"/>
      <c r="DX28" s="70" t="n"/>
      <c r="DY28" s="70" t="n"/>
      <c r="DZ28" s="70" t="n"/>
      <c r="EA28" s="70" t="n"/>
      <c r="EB28" s="70" t="n"/>
      <c r="EC28" s="70" t="n"/>
      <c r="ED28" s="70" t="n"/>
      <c r="EE28" s="70" t="n"/>
      <c r="EF28" s="70" t="n"/>
      <c r="EG28" s="70" t="n"/>
      <c r="EH28" s="70" t="n"/>
      <c r="EI28" s="70" t="n"/>
      <c r="EJ28" s="70" t="n"/>
      <c r="EK28" s="70" t="n"/>
      <c r="EL28" s="70" t="n"/>
      <c r="EM28" s="71" t="n"/>
      <c r="EN28" s="71" t="n"/>
      <c r="EO28" s="71" t="n"/>
    </row>
    <row r="29" ht="13.35" customHeight="1" s="276">
      <c r="A29" s="76" t="n"/>
      <c r="B29" s="62" t="inlineStr">
        <is>
          <t>Totais</t>
        </is>
      </c>
      <c r="C29" s="77">
        <f>SUM(C28:C28)</f>
        <v/>
      </c>
      <c r="D29" s="78">
        <f>SUM(D27:D28)</f>
        <v/>
      </c>
      <c r="E29" s="78">
        <f>SUM(E27:E28)</f>
        <v/>
      </c>
      <c r="F29" s="78">
        <f>SUM(F27:F28)</f>
        <v/>
      </c>
      <c r="G29" s="78">
        <f>SUM(G27:G28)</f>
        <v/>
      </c>
      <c r="H29" s="78">
        <f>SUM(H27:H28)</f>
        <v/>
      </c>
      <c r="I29" s="78">
        <f>SUM(I27:I28)</f>
        <v/>
      </c>
      <c r="J29" s="78">
        <f>SUM(J27:J28)</f>
        <v/>
      </c>
      <c r="K29" s="85" t="n"/>
      <c r="M29" s="85" t="n"/>
      <c r="N29" s="85" t="n"/>
      <c r="O29" s="85" t="n"/>
      <c r="P29" s="85" t="n"/>
      <c r="Q29" s="85" t="n"/>
      <c r="R29" s="85" t="n"/>
      <c r="S29" s="85" t="n"/>
      <c r="T29" s="85" t="n"/>
      <c r="U29" s="85" t="n"/>
      <c r="V29" s="85" t="n"/>
      <c r="W29" s="85" t="n"/>
      <c r="X29" s="85" t="n"/>
      <c r="Y29" s="85" t="n"/>
      <c r="Z29" s="85" t="n"/>
      <c r="AA29" s="85" t="n"/>
      <c r="AB29" s="85" t="n"/>
      <c r="AC29" s="85" t="n"/>
      <c r="AD29" s="85" t="n"/>
      <c r="AE29" s="85" t="n"/>
      <c r="AF29" s="85" t="n"/>
      <c r="AG29" s="85" t="n"/>
      <c r="AH29" s="85" t="n"/>
      <c r="AI29" s="85" t="n"/>
      <c r="AJ29" s="85" t="n"/>
      <c r="AK29" s="85" t="n"/>
      <c r="AL29" s="85" t="n"/>
      <c r="AM29" s="85" t="n"/>
      <c r="AN29" s="85" t="n"/>
      <c r="AO29" s="85" t="n"/>
      <c r="AP29" s="85" t="n"/>
      <c r="AQ29" s="85" t="n"/>
      <c r="AR29" s="85" t="n"/>
      <c r="AS29" s="71" t="n"/>
      <c r="AT29" s="71" t="n"/>
      <c r="AU29" s="71" t="n"/>
      <c r="AV29" s="71" t="n"/>
      <c r="AW29" s="71" t="n"/>
      <c r="AX29" s="71" t="n"/>
      <c r="AY29" s="71" t="n"/>
      <c r="AZ29" s="71" t="n"/>
      <c r="BA29" s="71" t="n"/>
      <c r="BB29" s="71" t="n"/>
      <c r="BC29" s="71" t="n"/>
      <c r="BD29" s="71" t="n"/>
      <c r="BE29" s="71" t="n"/>
      <c r="BF29" s="71" t="n"/>
      <c r="BG29" s="71" t="n"/>
      <c r="BH29" s="71" t="n"/>
      <c r="BI29" s="71" t="n"/>
      <c r="BJ29" s="71" t="n"/>
      <c r="BK29" s="71" t="n"/>
      <c r="BL29" s="71" t="n"/>
      <c r="BM29" s="71" t="n"/>
      <c r="BN29" s="71" t="n"/>
      <c r="BO29" s="71" t="n"/>
      <c r="BP29" s="71" t="n"/>
      <c r="BQ29" s="71" t="n"/>
      <c r="BR29" s="71" t="n"/>
      <c r="BS29" s="71" t="n"/>
      <c r="BT29" s="71" t="n"/>
      <c r="BU29" s="71" t="n"/>
      <c r="BV29" s="71" t="n"/>
      <c r="BW29" s="71" t="n"/>
      <c r="BX29" s="71" t="n"/>
      <c r="BY29" s="71" t="n"/>
      <c r="BZ29" s="71" t="n"/>
      <c r="CA29" s="71" t="n"/>
      <c r="CB29" s="71" t="n"/>
      <c r="CC29" s="71" t="n"/>
      <c r="CD29" s="71" t="n"/>
      <c r="CE29" s="71" t="n"/>
      <c r="CF29" s="71" t="n"/>
      <c r="CG29" s="71" t="n"/>
      <c r="CH29" s="71" t="n"/>
      <c r="CI29" s="71" t="n"/>
      <c r="CJ29" s="71" t="n"/>
      <c r="CK29" s="71" t="n"/>
      <c r="CL29" s="71" t="n"/>
      <c r="CM29" s="71" t="n"/>
      <c r="CN29" s="71" t="n"/>
      <c r="CO29" s="71" t="n"/>
      <c r="CP29" s="71" t="n"/>
      <c r="CQ29" s="71" t="n"/>
      <c r="CR29" s="71" t="n"/>
      <c r="CS29" s="71" t="n"/>
      <c r="CT29" s="71" t="n"/>
      <c r="CU29" s="71" t="n"/>
      <c r="CV29" s="71" t="n"/>
      <c r="CW29" s="71" t="n"/>
      <c r="CX29" s="71" t="n"/>
      <c r="CY29" s="71" t="n"/>
      <c r="CZ29" s="71" t="n"/>
      <c r="DA29" s="71" t="n"/>
      <c r="DB29" s="71" t="n"/>
      <c r="DC29" s="71" t="n"/>
      <c r="DD29" s="71" t="n"/>
      <c r="DE29" s="71" t="n"/>
      <c r="DF29" s="71" t="n"/>
      <c r="DG29" s="71" t="n"/>
      <c r="DH29" s="71" t="n"/>
      <c r="DI29" s="71" t="n"/>
      <c r="DJ29" s="71" t="n"/>
      <c r="DK29" s="71" t="n"/>
      <c r="DL29" s="71" t="n"/>
      <c r="DM29" s="71" t="n"/>
      <c r="DN29" s="71" t="n"/>
      <c r="DO29" s="71" t="n"/>
      <c r="DP29" s="71" t="n"/>
      <c r="DQ29" s="70" t="n"/>
      <c r="DR29" s="70" t="n"/>
      <c r="DS29" s="70" t="n"/>
      <c r="DT29" s="70" t="n"/>
      <c r="DU29" s="70" t="n"/>
      <c r="DV29" s="70" t="n"/>
      <c r="DW29" s="70" t="n"/>
      <c r="DX29" s="70" t="n"/>
      <c r="DY29" s="70" t="n"/>
      <c r="DZ29" s="70" t="n"/>
      <c r="EA29" s="70" t="n"/>
      <c r="EB29" s="70" t="n"/>
      <c r="EC29" s="70" t="n"/>
      <c r="ED29" s="70" t="n"/>
      <c r="EE29" s="70" t="n"/>
      <c r="EF29" s="70" t="n"/>
      <c r="EG29" s="70" t="n"/>
      <c r="EH29" s="70" t="n"/>
      <c r="EI29" s="70" t="n"/>
      <c r="EJ29" s="70" t="n"/>
      <c r="EK29" s="70" t="n"/>
      <c r="EL29" s="70" t="n"/>
      <c r="EM29" s="71" t="n"/>
      <c r="EN29" s="71" t="n"/>
      <c r="EO29" s="71" t="n"/>
    </row>
    <row r="30">
      <c r="A30" s="47" t="n"/>
    </row>
    <row r="31">
      <c r="A31" s="47" t="n"/>
      <c r="D31" s="47">
        <f>D28*7%</f>
        <v/>
      </c>
    </row>
    <row r="32">
      <c r="A32" s="47" t="n"/>
    </row>
    <row r="33">
      <c r="A33" s="47" t="n"/>
    </row>
    <row r="34">
      <c r="A34" s="47" t="n"/>
    </row>
    <row r="35">
      <c r="A35" s="47" t="n"/>
    </row>
    <row r="36">
      <c r="A36" s="47" t="n"/>
    </row>
    <row r="37">
      <c r="A37" s="47" t="n"/>
    </row>
    <row r="38">
      <c r="A38" s="47" t="n"/>
    </row>
    <row r="39">
      <c r="A39" s="47" t="n"/>
    </row>
    <row r="40">
      <c r="A40" s="47" t="n"/>
    </row>
    <row r="41">
      <c r="A41" s="47" t="n"/>
    </row>
    <row r="42">
      <c r="A42" s="47" t="n"/>
    </row>
    <row r="43">
      <c r="A43" s="47" t="n"/>
    </row>
    <row r="44">
      <c r="A44" s="47" t="n"/>
    </row>
    <row r="45">
      <c r="A45" s="47" t="n"/>
    </row>
    <row r="46">
      <c r="A46" s="47" t="n"/>
    </row>
    <row r="47">
      <c r="A47" s="47" t="n"/>
    </row>
    <row r="48">
      <c r="A48" s="47" t="n"/>
    </row>
    <row r="49">
      <c r="A49" s="47" t="n"/>
    </row>
    <row r="50">
      <c r="A50" s="47" t="n"/>
    </row>
    <row r="51">
      <c r="A51" s="47" t="n"/>
    </row>
    <row r="52">
      <c r="A52" s="47" t="n"/>
    </row>
    <row r="53">
      <c r="A53" s="47" t="n"/>
    </row>
    <row r="54">
      <c r="A54" s="47" t="n"/>
    </row>
    <row r="55">
      <c r="A55" s="47" t="n"/>
    </row>
    <row r="56">
      <c r="A56" s="47" t="n"/>
    </row>
    <row r="57">
      <c r="A57" s="47" t="n"/>
    </row>
    <row r="58">
      <c r="A58" s="47" t="n"/>
    </row>
    <row r="59">
      <c r="A59" s="47" t="n"/>
    </row>
    <row r="60">
      <c r="A60" s="47" t="n"/>
    </row>
    <row r="61">
      <c r="A61" s="47" t="n"/>
    </row>
    <row r="62">
      <c r="A62" s="47" t="n"/>
    </row>
    <row r="63">
      <c r="A63" s="47" t="n"/>
    </row>
    <row r="64">
      <c r="A64" s="47" t="n"/>
    </row>
    <row r="65">
      <c r="A65" s="47" t="n"/>
    </row>
    <row r="66">
      <c r="A66" s="47" t="n"/>
    </row>
    <row r="67">
      <c r="A67" s="47" t="n"/>
    </row>
    <row r="68">
      <c r="A68" s="47" t="n"/>
    </row>
    <row r="69">
      <c r="A69" s="47" t="n"/>
    </row>
    <row r="70">
      <c r="A70" s="47" t="n"/>
    </row>
    <row r="71" ht="14.25" customHeight="1" s="276">
      <c r="A71" s="47" t="n"/>
    </row>
    <row r="72" ht="14.25" customHeight="1" s="276">
      <c r="A72" s="47" t="n"/>
    </row>
    <row r="73" ht="14.25" customHeight="1" s="276">
      <c r="A73" s="47" t="n"/>
    </row>
    <row r="74" ht="14.25" customHeight="1" s="276">
      <c r="A74" s="47" t="n"/>
    </row>
    <row r="75" ht="14.25" customHeight="1" s="276">
      <c r="A75" s="47" t="n"/>
    </row>
    <row r="76" ht="14.25" customHeight="1" s="276">
      <c r="A76" s="47" t="n"/>
    </row>
    <row r="77" ht="14.25" customHeight="1" s="276">
      <c r="A77" s="47" t="n"/>
    </row>
    <row r="78" ht="14.25" customHeight="1" s="276">
      <c r="A78" s="47" t="n"/>
    </row>
    <row r="79" ht="14.25" customHeight="1" s="276">
      <c r="A79" s="47" t="n"/>
    </row>
    <row r="80" ht="14.25" customHeight="1" s="276">
      <c r="A80" s="47" t="n"/>
    </row>
    <row r="81" ht="14.25" customHeight="1" s="276">
      <c r="A81" s="47" t="n"/>
    </row>
    <row r="82" ht="14.25" customHeight="1" s="276">
      <c r="A82" s="47" t="n"/>
    </row>
    <row r="83" ht="14.25" customHeight="1" s="276">
      <c r="A83" s="47" t="n"/>
    </row>
    <row r="84" ht="14.25" customHeight="1" s="276">
      <c r="A84" s="47" t="n"/>
    </row>
    <row r="85" ht="14.25" customHeight="1" s="276">
      <c r="A85" s="47" t="n"/>
    </row>
    <row r="86" ht="14.25" customHeight="1" s="276">
      <c r="A86" s="47" t="n"/>
    </row>
    <row r="87" ht="14.25" customHeight="1" s="276">
      <c r="A87" s="47" t="n"/>
    </row>
    <row r="88" ht="14.25" customHeight="1" s="276">
      <c r="A88" s="47" t="n"/>
    </row>
    <row r="89" ht="14.25" customHeight="1" s="276">
      <c r="A89" s="47" t="n"/>
    </row>
    <row r="90" ht="14.25" customHeight="1" s="276">
      <c r="A90" s="47" t="n"/>
    </row>
    <row r="91" ht="14.25" customHeight="1" s="276">
      <c r="A91" s="47" t="n"/>
    </row>
    <row r="92" ht="14.25" customHeight="1" s="276">
      <c r="A92" s="47" t="n"/>
    </row>
    <row r="93" ht="14.25" customHeight="1" s="276">
      <c r="A93" s="47" t="n"/>
    </row>
    <row r="94" ht="14.25" customHeight="1" s="276">
      <c r="A94" s="47" t="n"/>
    </row>
    <row r="95" ht="14.25" customHeight="1" s="276">
      <c r="A95" s="47" t="n"/>
    </row>
    <row r="96" ht="14.25" customHeight="1" s="276">
      <c r="A96" s="47" t="n"/>
    </row>
    <row r="97" ht="14.25" customHeight="1" s="276">
      <c r="A97" s="47" t="n"/>
    </row>
    <row r="98" ht="14.25" customHeight="1" s="276">
      <c r="A98" s="47" t="n"/>
    </row>
    <row r="99" ht="14.25" customHeight="1" s="276">
      <c r="A99" s="47" t="n"/>
    </row>
    <row r="100" ht="14.25" customHeight="1" s="276">
      <c r="A100" s="47" t="n"/>
    </row>
    <row r="101" ht="14.25" customHeight="1" s="276">
      <c r="A101" s="47" t="n"/>
    </row>
    <row r="102" ht="14.25" customHeight="1" s="276">
      <c r="A102" s="47" t="n"/>
    </row>
    <row r="103" ht="14.25" customHeight="1" s="276">
      <c r="A103" s="47" t="n"/>
    </row>
    <row r="104" ht="14.25" customHeight="1" s="276">
      <c r="A104" s="47" t="n"/>
    </row>
    <row r="105" ht="14.25" customHeight="1" s="276">
      <c r="A105" s="47" t="n"/>
    </row>
    <row r="106" ht="14.25" customHeight="1" s="276">
      <c r="A106" s="47" t="n"/>
    </row>
    <row r="107" ht="14.25" customHeight="1" s="276">
      <c r="A107" s="47" t="n"/>
    </row>
    <row r="108" ht="14.25" customHeight="1" s="276">
      <c r="A108" s="47" t="n"/>
    </row>
    <row r="109" ht="14.25" customHeight="1" s="276">
      <c r="A109" s="47" t="n"/>
    </row>
    <row r="110" ht="14.25" customHeight="1" s="276">
      <c r="A110" s="47" t="n"/>
    </row>
    <row r="111" ht="14.25" customHeight="1" s="276">
      <c r="A111" s="47" t="n"/>
    </row>
    <row r="112" ht="14.25" customHeight="1" s="276">
      <c r="A112" s="47" t="n"/>
    </row>
    <row r="113" ht="14.25" customHeight="1" s="276">
      <c r="A113" s="47" t="n"/>
    </row>
    <row r="114" ht="14.25" customHeight="1" s="276">
      <c r="A114" s="47" t="n"/>
    </row>
    <row r="115" ht="14.25" customHeight="1" s="276">
      <c r="A115" s="47" t="n"/>
    </row>
    <row r="116" ht="14.25" customHeight="1" s="276">
      <c r="A116" s="47" t="n"/>
    </row>
    <row r="117" ht="14.25" customHeight="1" s="276">
      <c r="A117" s="47" t="n"/>
    </row>
    <row r="118" ht="14.25" customHeight="1" s="276">
      <c r="A118" s="47" t="n"/>
    </row>
    <row r="119" ht="14.25" customHeight="1" s="276">
      <c r="A119" s="47" t="n"/>
    </row>
    <row r="120" ht="14.25" customHeight="1" s="276">
      <c r="A120" s="47" t="n"/>
    </row>
    <row r="121" ht="14.25" customHeight="1" s="276">
      <c r="A121" s="47" t="n"/>
    </row>
    <row r="122" ht="14.25" customHeight="1" s="276">
      <c r="A122" s="47" t="n"/>
    </row>
    <row r="123" ht="14.25" customHeight="1" s="276">
      <c r="A123" s="47" t="n"/>
    </row>
    <row r="124" ht="14.25" customHeight="1" s="276">
      <c r="A124" s="47" t="n"/>
    </row>
    <row r="125" ht="14.25" customHeight="1" s="276">
      <c r="A125" s="47" t="n"/>
    </row>
    <row r="126" ht="14.25" customHeight="1" s="276">
      <c r="A126" s="47" t="n"/>
    </row>
    <row r="127" ht="14.25" customHeight="1" s="276">
      <c r="A127" s="47" t="n"/>
    </row>
    <row r="128" ht="14.25" customHeight="1" s="276">
      <c r="A128" s="47" t="n"/>
    </row>
    <row r="129" ht="14.25" customHeight="1" s="276">
      <c r="A129" s="47" t="n"/>
    </row>
    <row r="130" ht="14.25" customHeight="1" s="276">
      <c r="A130" s="47" t="n"/>
    </row>
    <row r="131" ht="14.25" customHeight="1" s="276">
      <c r="A131" s="47" t="n"/>
    </row>
    <row r="132" ht="14.25" customHeight="1" s="276">
      <c r="A132" s="47" t="n"/>
    </row>
    <row r="133" ht="14.25" customHeight="1" s="276">
      <c r="A133" s="47" t="n"/>
    </row>
    <row r="134" ht="14.25" customHeight="1" s="276">
      <c r="A134" s="47" t="n"/>
    </row>
    <row r="135" ht="14.25" customHeight="1" s="276">
      <c r="A135" s="47" t="n"/>
    </row>
    <row r="136" ht="14.25" customHeight="1" s="276">
      <c r="A136" s="47" t="n"/>
    </row>
    <row r="137" ht="14.25" customHeight="1" s="276">
      <c r="A137" s="47" t="n"/>
    </row>
    <row r="138" ht="14.25" customHeight="1" s="276">
      <c r="A138" s="47" t="n"/>
    </row>
    <row r="139" ht="14.25" customHeight="1" s="276">
      <c r="A139" s="47" t="n"/>
    </row>
    <row r="140" ht="14.25" customHeight="1" s="276">
      <c r="A140" s="47" t="n"/>
    </row>
    <row r="141" ht="14.25" customHeight="1" s="276">
      <c r="A141" s="47" t="n"/>
    </row>
    <row r="142" ht="14.25" customHeight="1" s="276">
      <c r="A142" s="47" t="n"/>
    </row>
    <row r="143" ht="14.25" customHeight="1" s="276">
      <c r="A143" s="47" t="n"/>
    </row>
    <row r="144" ht="14.25" customHeight="1" s="276">
      <c r="A144" s="47" t="n"/>
    </row>
    <row r="145" ht="14.25" customHeight="1" s="276">
      <c r="A145" s="47" t="n"/>
    </row>
    <row r="146" ht="14.25" customHeight="1" s="276">
      <c r="A146" s="47" t="n"/>
    </row>
    <row r="147" ht="14.25" customHeight="1" s="276">
      <c r="A147" s="47" t="n"/>
    </row>
    <row r="148" ht="14.25" customHeight="1" s="276">
      <c r="A148" s="47" t="n"/>
    </row>
    <row r="149" ht="14.25" customHeight="1" s="276">
      <c r="A149" s="47" t="n"/>
    </row>
    <row r="150" ht="14.25" customHeight="1" s="276">
      <c r="A150" s="47" t="n"/>
    </row>
    <row r="151" ht="14.25" customHeight="1" s="276">
      <c r="A151" s="47" t="n"/>
    </row>
    <row r="152" ht="14.25" customHeight="1" s="276">
      <c r="A152" s="47" t="n"/>
    </row>
    <row r="153" ht="14.25" customHeight="1" s="276">
      <c r="A153" s="47" t="n"/>
    </row>
    <row r="154" ht="14.25" customHeight="1" s="276">
      <c r="A154" s="47" t="n"/>
    </row>
    <row r="155" ht="14.25" customHeight="1" s="276">
      <c r="A155" s="47" t="n"/>
    </row>
    <row r="156" ht="14.25" customHeight="1" s="276">
      <c r="A156" s="47" t="n"/>
    </row>
    <row r="157" ht="14.25" customHeight="1" s="276">
      <c r="A157" s="47" t="n"/>
    </row>
    <row r="158" ht="14.25" customHeight="1" s="276">
      <c r="A158" s="47" t="n"/>
    </row>
    <row r="159" ht="14.25" customHeight="1" s="276">
      <c r="A159" s="47" t="n"/>
    </row>
    <row r="160" ht="14.25" customHeight="1" s="276">
      <c r="A160" s="47" t="n"/>
    </row>
    <row r="161" ht="14.25" customHeight="1" s="276">
      <c r="A161" s="47" t="n"/>
    </row>
    <row r="162" ht="14.25" customHeight="1" s="276">
      <c r="A162" s="47" t="n"/>
    </row>
    <row r="163" ht="14.25" customHeight="1" s="276">
      <c r="A163" s="47" t="n"/>
    </row>
    <row r="164" ht="14.25" customHeight="1" s="276">
      <c r="A164" s="47" t="n"/>
    </row>
    <row r="165" ht="14.25" customHeight="1" s="276">
      <c r="A165" s="47" t="n"/>
    </row>
    <row r="166" ht="14.25" customHeight="1" s="276">
      <c r="A166" s="47" t="n"/>
    </row>
    <row r="167" ht="14.25" customHeight="1" s="276">
      <c r="A167" s="47" t="n"/>
    </row>
    <row r="168" ht="14.25" customHeight="1" s="276">
      <c r="A168" s="47" t="n"/>
    </row>
    <row r="169" ht="14.25" customHeight="1" s="276">
      <c r="A169" s="47" t="n"/>
    </row>
    <row r="170" ht="14.25" customHeight="1" s="276">
      <c r="A170" s="47" t="n"/>
    </row>
    <row r="171" ht="14.25" customHeight="1" s="276">
      <c r="A171" s="47" t="n"/>
    </row>
    <row r="172" ht="14.25" customHeight="1" s="276">
      <c r="A172" s="47" t="n"/>
    </row>
    <row r="173" ht="14.25" customHeight="1" s="276">
      <c r="A173" s="47" t="n"/>
    </row>
    <row r="174" ht="14.25" customHeight="1" s="276">
      <c r="A174" s="47" t="n"/>
    </row>
    <row r="175" ht="14.25" customHeight="1" s="276">
      <c r="A175" s="47" t="n"/>
    </row>
    <row r="176" ht="14.25" customHeight="1" s="276">
      <c r="A176" s="47" t="n"/>
    </row>
    <row r="177" ht="14.25" customHeight="1" s="276">
      <c r="A177" s="47" t="n"/>
    </row>
    <row r="178" ht="14.25" customHeight="1" s="276">
      <c r="A178" s="47" t="n"/>
    </row>
    <row r="179" ht="14.25" customHeight="1" s="276">
      <c r="A179" s="47" t="n"/>
    </row>
    <row r="180" ht="14.25" customHeight="1" s="276">
      <c r="A180" s="47" t="n"/>
    </row>
    <row r="181" ht="14.25" customHeight="1" s="276">
      <c r="A181" s="47" t="n"/>
    </row>
    <row r="182" ht="14.25" customHeight="1" s="276">
      <c r="A182" s="47" t="n"/>
    </row>
    <row r="183" ht="14.25" customHeight="1" s="276">
      <c r="A183" s="47" t="n"/>
    </row>
    <row r="184" ht="14.25" customHeight="1" s="276">
      <c r="A184" s="47" t="n"/>
    </row>
    <row r="185" ht="14.25" customHeight="1" s="276">
      <c r="A185" s="47" t="n"/>
    </row>
    <row r="186" ht="14.25" customHeight="1" s="276">
      <c r="A186" s="47" t="n"/>
    </row>
    <row r="187" ht="14.25" customHeight="1" s="276">
      <c r="A187" s="47" t="n"/>
    </row>
    <row r="188" ht="14.25" customHeight="1" s="276">
      <c r="A188" s="47" t="n"/>
    </row>
    <row r="189" ht="14.25" customHeight="1" s="276">
      <c r="A189" s="47" t="n"/>
    </row>
    <row r="190" ht="14.25" customHeight="1" s="276">
      <c r="A190" s="47" t="n"/>
    </row>
    <row r="191" ht="14.25" customHeight="1" s="276">
      <c r="A191" s="47" t="n"/>
    </row>
    <row r="192" ht="14.25" customHeight="1" s="276">
      <c r="A192" s="47" t="n"/>
    </row>
    <row r="193" ht="14.25" customHeight="1" s="276">
      <c r="A193" s="47" t="n"/>
    </row>
    <row r="194" ht="14.25" customHeight="1" s="276">
      <c r="A194" s="47" t="n"/>
    </row>
    <row r="195" ht="14.25" customHeight="1" s="276">
      <c r="A195" s="47" t="n"/>
    </row>
    <row r="196" ht="14.25" customHeight="1" s="276">
      <c r="A196" s="47" t="n"/>
    </row>
    <row r="197" ht="14.25" customHeight="1" s="276">
      <c r="A197" s="47" t="n"/>
    </row>
    <row r="198" ht="14.25" customHeight="1" s="276">
      <c r="A198" s="47" t="n"/>
    </row>
    <row r="199" ht="14.25" customHeight="1" s="276">
      <c r="A199" s="47" t="n"/>
    </row>
    <row r="200" ht="14.25" customHeight="1" s="276">
      <c r="A200" s="47" t="n"/>
    </row>
    <row r="201" ht="14.25" customHeight="1" s="276">
      <c r="A201" s="47" t="n"/>
    </row>
    <row r="202" ht="14.25" customHeight="1" s="276">
      <c r="A202" s="47" t="n"/>
    </row>
    <row r="203" ht="14.25" customHeight="1" s="276">
      <c r="A203" s="47" t="n"/>
    </row>
    <row r="204" ht="14.25" customHeight="1" s="276">
      <c r="A204" s="47" t="n"/>
    </row>
    <row r="205" ht="14.25" customHeight="1" s="276">
      <c r="A205" s="47" t="n"/>
    </row>
    <row r="206" ht="14.25" customHeight="1" s="276">
      <c r="A206" s="47" t="n"/>
    </row>
    <row r="207" ht="14.25" customHeight="1" s="276">
      <c r="A207" s="47" t="n"/>
    </row>
    <row r="208" ht="14.25" customHeight="1" s="276">
      <c r="A208" s="47" t="n"/>
    </row>
    <row r="209" ht="14.25" customHeight="1" s="276">
      <c r="A209" s="47" t="n"/>
    </row>
    <row r="210" ht="14.25" customHeight="1" s="276">
      <c r="A210" s="47" t="n"/>
    </row>
    <row r="211" ht="14.25" customHeight="1" s="276">
      <c r="A211" s="47" t="n"/>
    </row>
    <row r="212" ht="14.25" customHeight="1" s="276">
      <c r="A212" s="47" t="n"/>
    </row>
    <row r="213" ht="14.25" customHeight="1" s="276">
      <c r="A213" s="47" t="n"/>
    </row>
    <row r="214" ht="14.25" customHeight="1" s="276">
      <c r="A214" s="47" t="n"/>
    </row>
    <row r="215" ht="14.25" customHeight="1" s="276">
      <c r="A215" s="47" t="n"/>
    </row>
    <row r="216" ht="14.25" customHeight="1" s="276">
      <c r="A216" s="47" t="n"/>
    </row>
    <row r="217" ht="14.25" customHeight="1" s="276">
      <c r="A217" s="47" t="n"/>
    </row>
    <row r="218" ht="14.25" customHeight="1" s="276">
      <c r="A218" s="47" t="n"/>
    </row>
    <row r="219" ht="14.25" customHeight="1" s="276">
      <c r="A219" s="47" t="n"/>
    </row>
    <row r="220" ht="14.25" customHeight="1" s="276">
      <c r="A220" s="47" t="n"/>
    </row>
    <row r="221" ht="14.25" customHeight="1" s="276">
      <c r="A221" s="47" t="n"/>
    </row>
    <row r="222" ht="14.25" customHeight="1" s="276">
      <c r="A222" s="47" t="n"/>
    </row>
    <row r="223" ht="14.25" customHeight="1" s="276">
      <c r="A223" s="47" t="n"/>
    </row>
    <row r="224" ht="14.25" customHeight="1" s="276">
      <c r="A224" s="47" t="n"/>
    </row>
    <row r="225" ht="14.25" customHeight="1" s="276">
      <c r="A225" s="47" t="n"/>
    </row>
    <row r="226" ht="14.25" customHeight="1" s="276">
      <c r="A226" s="47" t="n"/>
    </row>
    <row r="227" ht="14.25" customHeight="1" s="276">
      <c r="A227" s="47" t="n"/>
    </row>
    <row r="228" ht="14.25" customHeight="1" s="276">
      <c r="A228" s="47" t="n"/>
    </row>
    <row r="229" ht="14.25" customHeight="1" s="276">
      <c r="A229" s="47" t="n"/>
    </row>
    <row r="230" ht="14.25" customHeight="1" s="276">
      <c r="A230" s="47" t="n"/>
    </row>
    <row r="231" ht="14.25" customHeight="1" s="276">
      <c r="A231" s="47" t="n"/>
    </row>
    <row r="232" ht="14.25" customHeight="1" s="276">
      <c r="A232" s="47" t="n"/>
    </row>
    <row r="233" ht="14.25" customHeight="1" s="276">
      <c r="A233" s="47" t="n"/>
    </row>
    <row r="234" ht="14.25" customHeight="1" s="276">
      <c r="A234" s="47" t="n"/>
    </row>
    <row r="235" ht="14.25" customHeight="1" s="276">
      <c r="A235" s="47" t="n"/>
    </row>
    <row r="236" ht="14.25" customHeight="1" s="276">
      <c r="A236" s="47" t="n"/>
    </row>
    <row r="237" ht="14.25" customHeight="1" s="276">
      <c r="A237" s="47" t="n"/>
    </row>
    <row r="238" ht="14.25" customHeight="1" s="276">
      <c r="A238" s="47" t="n"/>
    </row>
    <row r="239" ht="14.25" customHeight="1" s="276">
      <c r="A239" s="47" t="n"/>
    </row>
    <row r="240" ht="14.25" customHeight="1" s="276">
      <c r="A240" s="47" t="n"/>
    </row>
    <row r="241" ht="14.25" customHeight="1" s="276">
      <c r="A241" s="47" t="n"/>
    </row>
    <row r="242" ht="14.25" customHeight="1" s="276">
      <c r="A242" s="47" t="n"/>
    </row>
    <row r="243" ht="14.25" customHeight="1" s="276">
      <c r="A243" s="47" t="n"/>
    </row>
    <row r="244" ht="14.25" customHeight="1" s="276">
      <c r="A244" s="47" t="n"/>
    </row>
    <row r="245" ht="14.25" customHeight="1" s="276">
      <c r="A245" s="47" t="n"/>
    </row>
    <row r="246" ht="14.25" customHeight="1" s="276">
      <c r="A246" s="47" t="n"/>
    </row>
    <row r="247" ht="14.25" customHeight="1" s="276">
      <c r="A247" s="47" t="n"/>
    </row>
    <row r="248" ht="14.25" customHeight="1" s="276">
      <c r="A248" s="47" t="n"/>
    </row>
    <row r="249" ht="14.25" customHeight="1" s="276">
      <c r="A249" s="47" t="n"/>
    </row>
    <row r="250" ht="14.25" customHeight="1" s="276">
      <c r="A250" s="47" t="n"/>
    </row>
    <row r="251" ht="14.25" customHeight="1" s="276">
      <c r="A251" s="47" t="n"/>
    </row>
    <row r="252" ht="14.25" customHeight="1" s="276">
      <c r="A252" s="47" t="n"/>
    </row>
    <row r="253" ht="14.25" customHeight="1" s="276">
      <c r="A253" s="47" t="n"/>
    </row>
    <row r="254" ht="14.25" customHeight="1" s="276">
      <c r="A254" s="47" t="n"/>
    </row>
    <row r="255" ht="14.25" customHeight="1" s="276">
      <c r="A255" s="47" t="n"/>
    </row>
    <row r="256" ht="14.25" customHeight="1" s="276">
      <c r="A256" s="47" t="n"/>
    </row>
    <row r="257" ht="14.25" customHeight="1" s="276">
      <c r="A257" s="47" t="n"/>
    </row>
    <row r="258" ht="14.25" customHeight="1" s="276">
      <c r="A258" s="47" t="n"/>
    </row>
    <row r="259" ht="14.25" customHeight="1" s="276">
      <c r="A259" s="47" t="n"/>
    </row>
    <row r="260" ht="14.25" customHeight="1" s="276">
      <c r="A260" s="47" t="n"/>
    </row>
    <row r="261" ht="14.25" customHeight="1" s="276">
      <c r="A261" s="47" t="n"/>
    </row>
    <row r="262" ht="14.25" customHeight="1" s="276">
      <c r="A262" s="47" t="n"/>
    </row>
    <row r="263" ht="14.25" customHeight="1" s="276">
      <c r="A263" s="47" t="n"/>
    </row>
    <row r="264" ht="14.25" customHeight="1" s="276">
      <c r="A264" s="47" t="n"/>
    </row>
    <row r="265" ht="14.25" customHeight="1" s="276">
      <c r="A265" s="47" t="n"/>
    </row>
    <row r="266" ht="14.25" customHeight="1" s="276">
      <c r="A266" s="47" t="n"/>
    </row>
    <row r="267" ht="14.25" customHeight="1" s="276">
      <c r="A267" s="47" t="n"/>
    </row>
    <row r="268" ht="14.25" customHeight="1" s="276">
      <c r="A268" s="47" t="n"/>
    </row>
    <row r="269" ht="14.25" customHeight="1" s="276">
      <c r="A269" s="47" t="n"/>
    </row>
    <row r="270" ht="14.25" customHeight="1" s="276">
      <c r="A270" s="47" t="n"/>
    </row>
    <row r="271" ht="14.25" customHeight="1" s="276">
      <c r="A271" s="47" t="n"/>
    </row>
    <row r="272" ht="14.25" customHeight="1" s="276">
      <c r="A272" s="47" t="n"/>
    </row>
    <row r="273" ht="14.25" customHeight="1" s="276">
      <c r="A273" s="47" t="n"/>
    </row>
    <row r="274" ht="14.25" customHeight="1" s="276">
      <c r="A274" s="47" t="n"/>
    </row>
    <row r="275" ht="14.25" customHeight="1" s="276">
      <c r="A275" s="47" t="n"/>
    </row>
    <row r="276" ht="14.25" customHeight="1" s="276">
      <c r="A276" s="47" t="n"/>
    </row>
    <row r="277" ht="14.25" customHeight="1" s="276">
      <c r="A277" s="47" t="n"/>
    </row>
    <row r="278" ht="14.25" customHeight="1" s="276">
      <c r="A278" s="47" t="n"/>
    </row>
    <row r="279" ht="14.25" customHeight="1" s="276">
      <c r="A279" s="47" t="n"/>
    </row>
    <row r="280" ht="14.25" customHeight="1" s="276">
      <c r="A280" s="47" t="n"/>
    </row>
    <row r="281" ht="14.25" customHeight="1" s="276">
      <c r="A281" s="47" t="n"/>
    </row>
    <row r="282" ht="14.25" customHeight="1" s="276">
      <c r="A282" s="47" t="n"/>
    </row>
    <row r="283" ht="14.25" customHeight="1" s="276">
      <c r="A283" s="47" t="n"/>
    </row>
    <row r="284" ht="14.25" customHeight="1" s="276">
      <c r="A284" s="47" t="n"/>
    </row>
    <row r="285" ht="14.25" customHeight="1" s="276">
      <c r="A285" s="47" t="n"/>
    </row>
    <row r="286" ht="14.25" customHeight="1" s="276">
      <c r="A286" s="47" t="n"/>
    </row>
    <row r="287" ht="14.25" customHeight="1" s="276">
      <c r="A287" s="47" t="n"/>
    </row>
    <row r="288" ht="14.25" customHeight="1" s="276">
      <c r="A288" s="47" t="n"/>
    </row>
    <row r="289" ht="14.25" customHeight="1" s="276">
      <c r="A289" s="47" t="n"/>
    </row>
    <row r="290" ht="14.25" customHeight="1" s="276">
      <c r="A290" s="47" t="n"/>
    </row>
    <row r="291" ht="14.25" customHeight="1" s="276">
      <c r="A291" s="47" t="n"/>
    </row>
    <row r="292" ht="14.25" customHeight="1" s="276">
      <c r="A292" s="47" t="n"/>
    </row>
    <row r="293" ht="14.25" customHeight="1" s="276">
      <c r="A293" s="47" t="n"/>
    </row>
    <row r="294" ht="14.25" customHeight="1" s="276">
      <c r="A294" s="47" t="n"/>
    </row>
    <row r="295" ht="14.25" customHeight="1" s="276">
      <c r="A295" s="47" t="n"/>
    </row>
    <row r="296" ht="14.25" customHeight="1" s="276">
      <c r="A296" s="47" t="n"/>
    </row>
    <row r="297" ht="14.25" customHeight="1" s="276">
      <c r="A297" s="47" t="n"/>
    </row>
    <row r="298" ht="14.25" customHeight="1" s="276">
      <c r="A298" s="47" t="n"/>
    </row>
    <row r="299" ht="14.25" customHeight="1" s="276">
      <c r="A299" s="47" t="n"/>
    </row>
    <row r="300" ht="14.25" customHeight="1" s="276">
      <c r="A300" s="47" t="n"/>
    </row>
    <row r="301" ht="14.25" customHeight="1" s="276">
      <c r="A301" s="47" t="n"/>
    </row>
    <row r="302" ht="14.25" customHeight="1" s="276">
      <c r="A302" s="47" t="n"/>
    </row>
    <row r="303" ht="14.25" customHeight="1" s="276">
      <c r="A303" s="47" t="n"/>
    </row>
    <row r="304" ht="14.25" customHeight="1" s="276">
      <c r="A304" s="47" t="n"/>
    </row>
    <row r="305" ht="14.25" customHeight="1" s="276">
      <c r="A305" s="47" t="n"/>
    </row>
    <row r="306" ht="14.25" customHeight="1" s="276">
      <c r="A306" s="47" t="n"/>
    </row>
    <row r="307" ht="14.25" customHeight="1" s="276">
      <c r="A307" s="47" t="n"/>
    </row>
    <row r="308" ht="14.25" customHeight="1" s="276">
      <c r="A308" s="47" t="n"/>
    </row>
    <row r="309" ht="14.25" customHeight="1" s="276">
      <c r="A309" s="47" t="n"/>
    </row>
    <row r="310" ht="14.25" customHeight="1" s="276">
      <c r="A310" s="47" t="n"/>
    </row>
    <row r="311" ht="14.25" customHeight="1" s="276">
      <c r="A311" s="47" t="n"/>
    </row>
    <row r="312" ht="14.25" customHeight="1" s="276">
      <c r="A312" s="47" t="n"/>
    </row>
    <row r="313" ht="14.25" customHeight="1" s="276">
      <c r="A313" s="47" t="n"/>
    </row>
    <row r="314" ht="14.25" customHeight="1" s="276">
      <c r="A314" s="47" t="n"/>
    </row>
    <row r="315" ht="14.25" customHeight="1" s="276">
      <c r="A315" s="47" t="n"/>
    </row>
  </sheetData>
  <mergeCells count="22">
    <mergeCell ref="B11:D11"/>
    <mergeCell ref="A23:D23"/>
    <mergeCell ref="B14:D14"/>
    <mergeCell ref="B7:C7"/>
    <mergeCell ref="A22:D22"/>
    <mergeCell ref="B3:C3"/>
    <mergeCell ref="B13:D13"/>
    <mergeCell ref="A19:D19"/>
    <mergeCell ref="B21:C21"/>
    <mergeCell ref="B2:C2"/>
    <mergeCell ref="B15:D15"/>
    <mergeCell ref="B8:C8"/>
    <mergeCell ref="B10:C10"/>
    <mergeCell ref="B9:C9"/>
    <mergeCell ref="A24:C24"/>
    <mergeCell ref="B16:D16"/>
    <mergeCell ref="B6:C6"/>
    <mergeCell ref="B5:C5"/>
    <mergeCell ref="B20:C20"/>
    <mergeCell ref="B18:D18"/>
    <mergeCell ref="B12:D12"/>
    <mergeCell ref="B4:C4"/>
  </mergeCells>
  <conditionalFormatting sqref="E4:W24">
    <cfRule type="expression" priority="1" dxfId="0">
      <formula>ISBLANK(E4)</formula>
    </cfRule>
  </conditionalFormatting>
  <pageMargins left="0.5118110236220472" right="0.5118110236220472" top="0.7874015748031497" bottom="0.7874015748031497" header="0.3149606299212598" footer="0.3149606299212598"/>
  <pageSetup orientation="landscape" paperSize="9" scale="59" horizontalDpi="300" verticalDpi="300"/>
  <headerFooter>
    <oddHeader>&amp;C&amp;"Arial,Negrito"&amp;12 Rumo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BV40"/>
  <sheetViews>
    <sheetView view="pageBreakPreview" zoomScaleNormal="100" zoomScaleSheetLayoutView="100" workbookViewId="0">
      <selection activeCell="I7" sqref="I7"/>
    </sheetView>
    <sheetView workbookViewId="1">
      <selection activeCell="A1" sqref="A1"/>
    </sheetView>
  </sheetViews>
  <sheetFormatPr baseColWidth="8" defaultColWidth="8.7109375" defaultRowHeight="12.75"/>
  <cols>
    <col width="4.140625" customWidth="1" style="4" min="1" max="1"/>
    <col width="18" customWidth="1" style="4" min="2" max="2"/>
    <col width="9.7109375" customWidth="1" style="4" min="3" max="12"/>
    <col width="11.5703125" customWidth="1" style="4" min="13" max="13"/>
    <col width="9.7109375" customWidth="1" style="4" min="14" max="48"/>
    <col width="8.5703125" customWidth="1" style="4" min="49" max="66"/>
    <col width="9.140625" customWidth="1" style="4" min="67" max="71"/>
    <col width="8.7109375" customWidth="1" style="4" min="72" max="72"/>
    <col width="9.28515625" customWidth="1" style="4" min="73" max="73"/>
    <col width="9.5703125" customWidth="1" style="4" min="74" max="74"/>
    <col width="8.7109375" customWidth="1" style="4" min="75" max="76"/>
    <col width="8.7109375" customWidth="1" style="4" min="77" max="16384"/>
  </cols>
  <sheetData>
    <row r="1" ht="18" customHeight="1" s="276">
      <c r="A1" s="2" t="inlineStr">
        <is>
          <t>N˚</t>
        </is>
      </c>
      <c r="B1" s="31" t="inlineStr">
        <is>
          <t>Receita</t>
        </is>
      </c>
      <c r="C1" s="3" t="inlineStr">
        <is>
          <t>Até mai/26</t>
        </is>
      </c>
      <c r="D1" s="3" t="n">
        <v>46174</v>
      </c>
      <c r="E1" s="3" t="n">
        <v>46204</v>
      </c>
      <c r="F1" s="3" t="n">
        <v>46235</v>
      </c>
      <c r="G1" s="3" t="inlineStr">
        <is>
          <t>Totais</t>
        </is>
      </c>
      <c r="BA1" s="28" t="n"/>
      <c r="BB1" s="28" t="n"/>
    </row>
    <row r="2" ht="18" customHeight="1" s="276">
      <c r="A2" s="5" t="n">
        <v>1</v>
      </c>
      <c r="B2" s="32" t="inlineStr">
        <is>
          <t>Parcelas</t>
        </is>
      </c>
      <c r="C2" s="371">
        <f>E36</f>
        <v/>
      </c>
      <c r="D2" s="372" t="n">
        <v>386470</v>
      </c>
      <c r="E2" s="372" t="n">
        <v>0</v>
      </c>
      <c r="F2" s="372" t="n">
        <v>177017</v>
      </c>
      <c r="G2" s="373">
        <f>SUM(C2:F2)</f>
        <v/>
      </c>
      <c r="BA2" s="374" t="n"/>
      <c r="BB2" s="374" t="n"/>
    </row>
    <row r="3" ht="18" customHeight="1" s="276">
      <c r="A3" s="6" t="inlineStr">
        <is>
          <t>N˚</t>
        </is>
      </c>
      <c r="B3" s="300" t="inlineStr">
        <is>
          <t>Despesas</t>
        </is>
      </c>
      <c r="C3" s="255" t="n"/>
      <c r="D3" s="18">
        <f>D1</f>
        <v/>
      </c>
      <c r="E3" s="18">
        <f>E1</f>
        <v/>
      </c>
      <c r="F3" s="18">
        <f>F1</f>
        <v/>
      </c>
      <c r="G3" s="18" t="inlineStr">
        <is>
          <t>Totais</t>
        </is>
      </c>
      <c r="BA3" s="29" t="n"/>
      <c r="BB3" s="29" t="n"/>
    </row>
    <row r="4" ht="18" customHeight="1" s="276">
      <c r="A4" s="5" t="n">
        <v>1</v>
      </c>
      <c r="B4" s="298" t="inlineStr">
        <is>
          <t>Lucas Zomignani Oliveira</t>
        </is>
      </c>
      <c r="C4" s="299" t="n"/>
      <c r="D4" s="375" t="n">
        <v>8196.43</v>
      </c>
      <c r="E4" s="375" t="n">
        <v>8196.43</v>
      </c>
      <c r="F4" s="375" t="n">
        <v>8196.43</v>
      </c>
      <c r="G4" s="373">
        <f>SUM(D4:F4)</f>
        <v/>
      </c>
      <c r="BA4" s="376" t="n"/>
      <c r="BB4" s="376" t="n"/>
    </row>
    <row r="5" ht="18" customHeight="1" s="276">
      <c r="A5" s="5">
        <f>A4+1</f>
        <v/>
      </c>
      <c r="B5" s="298" t="inlineStr">
        <is>
          <t>Encargos Trabalhistas</t>
        </is>
      </c>
      <c r="C5" s="299" t="n"/>
      <c r="D5" s="375">
        <f>SUM(D4:D4)*0.85</f>
        <v/>
      </c>
      <c r="E5" s="375">
        <f>SUM(E4:E4)*0.85</f>
        <v/>
      </c>
      <c r="F5" s="375">
        <f>SUM(F4:F4)*0.85</f>
        <v/>
      </c>
      <c r="G5" s="373">
        <f>SUM(D5:F5)</f>
        <v/>
      </c>
      <c r="M5" s="377" t="n"/>
      <c r="BA5" s="376" t="n"/>
      <c r="BB5" s="376" t="n"/>
    </row>
    <row r="6" ht="18" customHeight="1" s="276">
      <c r="A6" s="5">
        <f>A5+1</f>
        <v/>
      </c>
      <c r="B6" s="298" t="inlineStr">
        <is>
          <t>Fernando de Melo e Silva</t>
        </is>
      </c>
      <c r="C6" s="299" t="n"/>
      <c r="D6" s="375">
        <f>77285.88/6</f>
        <v/>
      </c>
      <c r="E6" s="375">
        <f>77285.88/6</f>
        <v/>
      </c>
      <c r="F6" s="375" t="n"/>
      <c r="G6" s="373">
        <f>SUM(D6:F6)</f>
        <v/>
      </c>
      <c r="M6" s="377" t="n"/>
      <c r="BA6" s="376" t="n"/>
      <c r="BB6" s="376" t="n"/>
    </row>
    <row r="7" ht="18" customHeight="1" s="276">
      <c r="A7" s="5">
        <f>A6+1</f>
        <v/>
      </c>
      <c r="B7" s="298" t="inlineStr">
        <is>
          <t>Flavia Nascimento Pureza Mello</t>
        </is>
      </c>
      <c r="C7" s="299" t="n"/>
      <c r="D7" s="375" t="n">
        <v>9000</v>
      </c>
      <c r="E7" s="375" t="n"/>
      <c r="F7" s="375" t="n"/>
      <c r="G7" s="373">
        <f>SUM(D7:F7)</f>
        <v/>
      </c>
      <c r="M7" s="377" t="n"/>
      <c r="BA7" s="376" t="n"/>
      <c r="BB7" s="376" t="n"/>
    </row>
    <row r="8" ht="18" customHeight="1" s="276">
      <c r="A8" s="5">
        <f>A7+1</f>
        <v/>
      </c>
      <c r="B8" s="298" t="inlineStr">
        <is>
          <t>Encargos s/RPA - 20%</t>
        </is>
      </c>
      <c r="C8" s="299" t="n"/>
      <c r="D8" s="375">
        <f>SUM(D6:D7)*0.2</f>
        <v/>
      </c>
      <c r="E8" s="375">
        <f>SUM(E6:E7)*0.2</f>
        <v/>
      </c>
      <c r="F8" s="375">
        <f>SUM(F6:F7)*0.2</f>
        <v/>
      </c>
      <c r="G8" s="373">
        <f>SUM(D8:F8)</f>
        <v/>
      </c>
      <c r="M8" s="377" t="n"/>
      <c r="BA8" s="376" t="n"/>
      <c r="BB8" s="376" t="n"/>
    </row>
    <row r="9" ht="18" customHeight="1" s="276">
      <c r="A9" s="5">
        <f>A8+1</f>
        <v/>
      </c>
      <c r="B9" s="298" t="inlineStr">
        <is>
          <t>Danton Henrique Santos D'Almeida</t>
        </is>
      </c>
      <c r="C9" s="299" t="n"/>
      <c r="D9" s="375" t="n">
        <v>3200</v>
      </c>
      <c r="E9" s="375" t="n">
        <v>3200</v>
      </c>
      <c r="F9" s="375" t="n">
        <v>3200</v>
      </c>
      <c r="G9" s="373">
        <f>SUM(D9:F9)</f>
        <v/>
      </c>
      <c r="M9" s="377" t="n"/>
      <c r="BA9" s="376" t="n"/>
      <c r="BB9" s="376" t="n"/>
    </row>
    <row r="10" ht="18" customHeight="1" s="276">
      <c r="A10" s="5">
        <f>A9+1</f>
        <v/>
      </c>
      <c r="B10" s="298" t="inlineStr">
        <is>
          <t>Gabriel Martins Folador</t>
        </is>
      </c>
      <c r="C10" s="299" t="n"/>
      <c r="D10" s="375" t="n">
        <v>1050</v>
      </c>
      <c r="E10" s="375" t="n">
        <v>1050</v>
      </c>
      <c r="F10" s="375" t="n">
        <v>1050</v>
      </c>
      <c r="G10" s="373">
        <f>SUM(D10:F10)</f>
        <v/>
      </c>
      <c r="M10" s="377" t="n"/>
      <c r="BA10" s="376" t="n"/>
      <c r="BB10" s="376" t="n"/>
    </row>
    <row r="11" ht="18" customHeight="1" s="276">
      <c r="A11" s="5">
        <f>A10+1</f>
        <v/>
      </c>
      <c r="B11" s="298" t="inlineStr">
        <is>
          <t>Kamilly Alana Vendramini</t>
        </is>
      </c>
      <c r="C11" s="299" t="n"/>
      <c r="D11" s="375" t="n">
        <v>1050</v>
      </c>
      <c r="E11" s="375" t="n">
        <v>1050</v>
      </c>
      <c r="F11" s="375" t="n">
        <v>1050</v>
      </c>
      <c r="G11" s="373">
        <f>SUM(D11:F11)</f>
        <v/>
      </c>
      <c r="BA11" s="376" t="n"/>
      <c r="BB11" s="376" t="n"/>
    </row>
    <row r="12" ht="18" customHeight="1" s="276">
      <c r="A12" s="5">
        <f>A11+1</f>
        <v/>
      </c>
      <c r="B12" s="298" t="inlineStr">
        <is>
          <t>Natalia Sagaz</t>
        </is>
      </c>
      <c r="C12" s="299" t="n"/>
      <c r="D12" s="375" t="n">
        <v>2200</v>
      </c>
      <c r="E12" s="375" t="n">
        <v>2200</v>
      </c>
      <c r="F12" s="375" t="n">
        <v>2200</v>
      </c>
      <c r="G12" s="373">
        <f>SUM(D12:F12)</f>
        <v/>
      </c>
      <c r="BA12" s="376" t="n"/>
      <c r="BB12" s="376" t="n"/>
    </row>
    <row r="13" ht="18" customHeight="1" s="276">
      <c r="A13" s="5">
        <f>A12+1</f>
        <v/>
      </c>
      <c r="B13" s="298" t="inlineStr">
        <is>
          <t>Nathalia Julia Moura</t>
        </is>
      </c>
      <c r="C13" s="299" t="n"/>
      <c r="D13" s="375" t="n">
        <v>1050</v>
      </c>
      <c r="E13" s="375" t="n">
        <v>1050</v>
      </c>
      <c r="F13" s="375" t="n">
        <v>1050</v>
      </c>
      <c r="G13" s="373">
        <f>SUM(D13:F13)</f>
        <v/>
      </c>
      <c r="BA13" s="376" t="n"/>
      <c r="BB13" s="376" t="n"/>
    </row>
    <row r="14" ht="18" customHeight="1" s="276">
      <c r="A14" s="5">
        <f>A13+1</f>
        <v/>
      </c>
      <c r="B14" s="298" t="inlineStr">
        <is>
          <t>Rian Fabiano Venezio</t>
        </is>
      </c>
      <c r="C14" s="299" t="n"/>
      <c r="D14" s="375" t="n">
        <v>2200</v>
      </c>
      <c r="E14" s="375" t="n">
        <v>2200</v>
      </c>
      <c r="F14" s="375" t="n">
        <v>2200</v>
      </c>
      <c r="G14" s="373">
        <f>SUM(D14:F14)</f>
        <v/>
      </c>
      <c r="BA14" s="376" t="n"/>
      <c r="BB14" s="376" t="n"/>
    </row>
    <row r="15" ht="18" customHeight="1" s="276">
      <c r="A15" s="5">
        <f>A14+1</f>
        <v/>
      </c>
      <c r="B15" s="298" t="inlineStr">
        <is>
          <t>Serviços de Terceiros</t>
        </is>
      </c>
      <c r="C15" s="299" t="n"/>
      <c r="D15" s="375" t="n">
        <v>3000</v>
      </c>
      <c r="E15" s="375" t="n">
        <v>3000</v>
      </c>
      <c r="F15" s="375" t="n">
        <v>3000</v>
      </c>
      <c r="G15" s="373">
        <f>SUM(D15:F15)</f>
        <v/>
      </c>
      <c r="BA15" s="376" t="n"/>
      <c r="BB15" s="376" t="n"/>
    </row>
    <row r="16" ht="18" customHeight="1" s="276">
      <c r="A16" s="5">
        <f>A15+1</f>
        <v/>
      </c>
      <c r="B16" s="298" t="inlineStr">
        <is>
          <t>Passagens e Locomoções</t>
        </is>
      </c>
      <c r="C16" s="299" t="n"/>
      <c r="D16" s="375" t="n">
        <v>5000</v>
      </c>
      <c r="E16" s="375" t="n">
        <v>5000</v>
      </c>
      <c r="F16" s="375" t="n">
        <v>5000</v>
      </c>
      <c r="G16" s="373">
        <f>SUM(D16:F16)</f>
        <v/>
      </c>
      <c r="BA16" s="376" t="n"/>
      <c r="BB16" s="376" t="n"/>
    </row>
    <row r="17" ht="18" customHeight="1" s="276">
      <c r="A17" s="5">
        <f>A16+1</f>
        <v/>
      </c>
      <c r="B17" s="298" t="inlineStr">
        <is>
          <t>Diárias</t>
        </is>
      </c>
      <c r="C17" s="299" t="n"/>
      <c r="D17" s="375" t="n">
        <v>2500</v>
      </c>
      <c r="E17" s="375" t="n">
        <v>2500</v>
      </c>
      <c r="F17" s="375" t="n">
        <v>2500</v>
      </c>
      <c r="G17" s="373">
        <f>SUM(D17:F17)</f>
        <v/>
      </c>
      <c r="BA17" s="376" t="n"/>
      <c r="BB17" s="376" t="n"/>
    </row>
    <row r="18" ht="18" customHeight="1" s="276">
      <c r="A18" s="5">
        <f>A17+1</f>
        <v/>
      </c>
      <c r="B18" s="298" t="inlineStr">
        <is>
          <t>Material de Consumo</t>
        </is>
      </c>
      <c r="C18" s="299" t="n"/>
      <c r="D18" s="375" t="n">
        <v>3500</v>
      </c>
      <c r="E18" s="375" t="n">
        <v>3500</v>
      </c>
      <c r="F18" s="375" t="n">
        <v>3500</v>
      </c>
      <c r="G18" s="373">
        <f>SUM(D18:F18)</f>
        <v/>
      </c>
      <c r="BA18" s="376" t="n"/>
      <c r="BB18" s="376" t="n"/>
    </row>
    <row r="19" ht="18" customHeight="1" s="276">
      <c r="A19" s="302" t="inlineStr">
        <is>
          <t>subtotal</t>
        </is>
      </c>
      <c r="B19" s="257" t="n"/>
      <c r="C19" s="255" t="n"/>
      <c r="D19" s="378">
        <f>SUM(D4:D18)</f>
        <v/>
      </c>
      <c r="E19" s="378">
        <f>SUM(E4:E18)</f>
        <v/>
      </c>
      <c r="F19" s="378">
        <f>SUM(F4:F18)</f>
        <v/>
      </c>
      <c r="G19" s="378">
        <f>SUM(G4:G18)</f>
        <v/>
      </c>
      <c r="BA19" s="379" t="n"/>
      <c r="BB19" s="379" t="n"/>
    </row>
    <row r="20" ht="18" customHeight="1" s="276">
      <c r="A20" s="7">
        <f>A18+1</f>
        <v/>
      </c>
      <c r="B20" s="27" t="inlineStr">
        <is>
          <t>FAPEU</t>
        </is>
      </c>
      <c r="C20" s="8" t="n">
        <v>0.1</v>
      </c>
      <c r="D20" s="372">
        <f>D2*$C$20</f>
        <v/>
      </c>
      <c r="E20" s="372">
        <f>E2*$C$20</f>
        <v/>
      </c>
      <c r="F20" s="372">
        <f>F2*$C$20</f>
        <v/>
      </c>
      <c r="G20" s="373">
        <f>SUM(D20:F20)</f>
        <v/>
      </c>
      <c r="BA20" s="376" t="n"/>
      <c r="BB20" s="376" t="n"/>
    </row>
    <row r="21" ht="18" customHeight="1" s="276">
      <c r="A21" s="7">
        <f>A20+1</f>
        <v/>
      </c>
      <c r="B21" s="27" t="inlineStr">
        <is>
          <t>UFSC</t>
        </is>
      </c>
      <c r="C21" s="8" t="n">
        <v>0.07000000000000001</v>
      </c>
      <c r="D21" s="372">
        <f>D2*$C$21</f>
        <v/>
      </c>
      <c r="E21" s="372">
        <f>E2*$C$21</f>
        <v/>
      </c>
      <c r="F21" s="372">
        <f>F2*$C$21</f>
        <v/>
      </c>
      <c r="G21" s="373">
        <f>SUM(D21:F21)</f>
        <v/>
      </c>
      <c r="BA21" s="376" t="n"/>
      <c r="BB21" s="376" t="n"/>
    </row>
    <row r="22" ht="18" customHeight="1" s="276">
      <c r="A22" s="302" t="inlineStr">
        <is>
          <t>subtotal</t>
        </is>
      </c>
      <c r="B22" s="257" t="n"/>
      <c r="C22" s="255" t="n"/>
      <c r="D22" s="378">
        <f>SUM(D20:D21)</f>
        <v/>
      </c>
      <c r="E22" s="378">
        <f>SUM(E20:E21)</f>
        <v/>
      </c>
      <c r="F22" s="378">
        <f>SUM(F20:F21)</f>
        <v/>
      </c>
      <c r="G22" s="378">
        <f>SUM(G20:G21)</f>
        <v/>
      </c>
      <c r="BA22" s="379" t="n"/>
      <c r="BB22" s="379" t="n"/>
    </row>
    <row r="23" ht="18" customHeight="1" s="276">
      <c r="A23" s="301" t="inlineStr">
        <is>
          <t>Total Despesas</t>
        </is>
      </c>
      <c r="B23" s="257" t="n"/>
      <c r="C23" s="255" t="n"/>
      <c r="D23" s="380">
        <f>D22+D19</f>
        <v/>
      </c>
      <c r="E23" s="380">
        <f>E22+E19</f>
        <v/>
      </c>
      <c r="F23" s="380">
        <f>F22+F19</f>
        <v/>
      </c>
      <c r="G23" s="380">
        <f>G22+G19</f>
        <v/>
      </c>
      <c r="BA23" s="381" t="n"/>
      <c r="BB23" s="381" t="n"/>
    </row>
    <row r="24" ht="18" customHeight="1" s="276">
      <c r="A24" s="382" t="inlineStr">
        <is>
          <t>Saldos</t>
        </is>
      </c>
      <c r="B24" s="255" t="n"/>
      <c r="C24" s="9">
        <f>H36</f>
        <v/>
      </c>
      <c r="D24" s="9">
        <f>C24+D2-D23</f>
        <v/>
      </c>
      <c r="E24" s="9">
        <f>D24+E2-E23</f>
        <v/>
      </c>
      <c r="F24" s="9">
        <f>E24+F2-F23</f>
        <v/>
      </c>
      <c r="G24" s="23">
        <f>G2+C24-C2-G23</f>
        <v/>
      </c>
      <c r="BA24" s="30" t="n"/>
      <c r="BB24" s="30" t="n"/>
    </row>
    <row r="25" ht="18" customHeight="1" s="276">
      <c r="A25" s="10" t="n"/>
      <c r="B25" s="21" t="n"/>
      <c r="C25" s="38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  <c r="V25" s="33" t="n"/>
      <c r="W25" s="33" t="n"/>
      <c r="X25" s="33" t="n"/>
      <c r="Y25" s="33" t="n"/>
      <c r="Z25" s="33" t="n"/>
      <c r="AA25" s="33" t="n"/>
      <c r="AB25" s="33" t="n"/>
      <c r="AC25" s="33" t="n"/>
      <c r="AD25" s="33" t="n"/>
      <c r="AE25" s="33" t="n"/>
      <c r="AF25" s="33" t="n"/>
      <c r="AG25" s="33" t="n"/>
      <c r="AH25" s="33" t="n"/>
      <c r="AI25" s="33" t="n"/>
      <c r="AJ25" s="33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  <c r="BA25" s="33" t="n"/>
      <c r="BB25" s="33" t="n"/>
      <c r="BC25" s="33" t="n"/>
      <c r="BD25" s="33" t="n"/>
      <c r="BE25" s="33" t="n"/>
      <c r="BF25" s="33" t="n"/>
      <c r="BG25" s="33" t="n"/>
      <c r="BH25" s="33" t="n"/>
      <c r="BI25" s="33" t="n"/>
      <c r="BJ25" s="33" t="n"/>
      <c r="BK25" s="33" t="n"/>
      <c r="BL25" s="33" t="n"/>
      <c r="BM25" s="33" t="n"/>
      <c r="BN25" s="33" t="n"/>
      <c r="BO25" s="33" t="n"/>
      <c r="BP25" s="33" t="n"/>
      <c r="BQ25" s="33" t="n"/>
      <c r="BR25" s="33" t="n"/>
      <c r="BS25" s="33" t="n"/>
      <c r="BT25" s="33" t="n"/>
      <c r="BU25" s="33" t="n"/>
      <c r="BV25" s="33" t="n"/>
    </row>
    <row r="26" ht="18" customHeight="1" s="276">
      <c r="A26" s="1" t="inlineStr">
        <is>
          <t>N˚</t>
        </is>
      </c>
      <c r="B26" s="37" t="inlineStr">
        <is>
          <t>Rubricas</t>
        </is>
      </c>
      <c r="C26" s="1" t="inlineStr">
        <is>
          <t>Perc.</t>
        </is>
      </c>
      <c r="D26" s="1" t="inlineStr">
        <is>
          <t>Previsto</t>
        </is>
      </c>
      <c r="E26" s="1" t="inlineStr">
        <is>
          <t>Recebido</t>
        </is>
      </c>
      <c r="F26" s="1" t="inlineStr">
        <is>
          <t>A Receber</t>
        </is>
      </c>
      <c r="G26" s="1" t="inlineStr">
        <is>
          <t>Gasto</t>
        </is>
      </c>
      <c r="H26" s="1" t="inlineStr">
        <is>
          <t>Saldo</t>
        </is>
      </c>
      <c r="I26" s="384" t="inlineStr">
        <is>
          <t>A gastar</t>
        </is>
      </c>
      <c r="J26" s="384" t="inlineStr">
        <is>
          <t>Result.</t>
        </is>
      </c>
      <c r="K26" s="80" t="n"/>
      <c r="L26" s="107" t="inlineStr">
        <is>
          <t>Inicio</t>
        </is>
      </c>
      <c r="M26" s="108" t="n">
        <v>45863</v>
      </c>
      <c r="N26" s="80" t="n"/>
      <c r="O26" s="80" t="n"/>
      <c r="P26" s="80" t="n"/>
      <c r="Q26" s="80" t="n"/>
      <c r="R26" s="80" t="n"/>
      <c r="S26" s="80" t="n"/>
      <c r="T26" s="80" t="n"/>
      <c r="U26" s="80" t="n"/>
      <c r="V26" s="80" t="n"/>
      <c r="W26" s="80" t="n"/>
      <c r="X26" s="80" t="n"/>
      <c r="Y26" s="80" t="n"/>
      <c r="Z26" s="80" t="n"/>
      <c r="AA26" s="80" t="n"/>
      <c r="AB26" s="80" t="n"/>
      <c r="AC26" s="80" t="n"/>
      <c r="AD26" s="80" t="n"/>
      <c r="AE26" s="80" t="n"/>
      <c r="AF26" s="80" t="n"/>
      <c r="AG26" s="80" t="n"/>
      <c r="AH26" s="80" t="n"/>
      <c r="AI26" s="80" t="n"/>
      <c r="AJ26" s="80" t="n"/>
      <c r="AK26" s="80" t="n"/>
      <c r="AL26" s="80" t="n"/>
      <c r="AM26" s="80" t="n"/>
      <c r="AN26" s="80" t="n"/>
      <c r="AY26" s="42" t="n"/>
      <c r="BC26" s="24" t="n"/>
      <c r="BI26" s="24" t="n"/>
      <c r="BJ26" s="24" t="n"/>
      <c r="BK26" s="24" t="n"/>
      <c r="BL26" s="24" t="n"/>
      <c r="BR26" s="34" t="n"/>
      <c r="BS26" s="34" t="n"/>
      <c r="BT26" s="34" t="n"/>
      <c r="BU26" s="34" t="n"/>
      <c r="BV26" s="34" t="n"/>
    </row>
    <row r="27" ht="18" customHeight="1" s="276">
      <c r="A27" s="7" t="n">
        <v>1</v>
      </c>
      <c r="B27" s="11" t="inlineStr">
        <is>
          <t>Aplicação em Fundos</t>
        </is>
      </c>
      <c r="C27" s="8" t="n">
        <v>0</v>
      </c>
      <c r="D27" s="12" t="n">
        <v>0</v>
      </c>
      <c r="E27" s="13" t="n">
        <v>0</v>
      </c>
      <c r="F27" s="14" t="n">
        <v>0</v>
      </c>
      <c r="G27" s="12" t="n">
        <v>0</v>
      </c>
      <c r="H27" s="15" t="n">
        <v>9645</v>
      </c>
      <c r="I27" s="20" t="n">
        <v>0</v>
      </c>
      <c r="J27" s="16">
        <f>H27-I27</f>
        <v/>
      </c>
      <c r="K27" s="25" t="n"/>
      <c r="L27" s="107" t="inlineStr">
        <is>
          <t>término</t>
        </is>
      </c>
      <c r="M27" s="108" t="n">
        <v>46167</v>
      </c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  <c r="AD27" s="25" t="n"/>
      <c r="AE27" s="25" t="n"/>
      <c r="AF27" s="25" t="n"/>
      <c r="AG27" s="25" t="n"/>
      <c r="AH27" s="25" t="n"/>
      <c r="AI27" s="25" t="n"/>
      <c r="AJ27" s="25" t="n"/>
      <c r="AK27" s="25" t="n"/>
      <c r="AL27" s="25" t="n"/>
      <c r="AM27" s="25" t="n"/>
      <c r="AN27" s="25" t="n"/>
      <c r="BC27" s="22" t="n"/>
      <c r="BI27" s="35" t="n"/>
      <c r="BJ27" s="35" t="n"/>
      <c r="BK27" s="35" t="n"/>
      <c r="BL27" s="35" t="n"/>
      <c r="BR27" s="36" t="n"/>
      <c r="BS27" s="36" t="n"/>
      <c r="BT27" s="36" t="n"/>
      <c r="BU27" s="36" t="n"/>
      <c r="BV27" s="36" t="n"/>
    </row>
    <row r="28" ht="18" customHeight="1" s="276">
      <c r="A28" s="7">
        <f>A27+1</f>
        <v/>
      </c>
      <c r="B28" s="17" t="inlineStr">
        <is>
          <t>Equipe Técnica</t>
        </is>
      </c>
      <c r="C28" s="8">
        <f>D28/2553140</f>
        <v/>
      </c>
      <c r="D28" s="12" t="n">
        <v>1357928.28</v>
      </c>
      <c r="E28" s="13">
        <f>1989653*C28</f>
        <v/>
      </c>
      <c r="F28" s="14">
        <f>D28-E28</f>
        <v/>
      </c>
      <c r="G28" s="12" t="n">
        <v>0</v>
      </c>
      <c r="H28" s="15">
        <f>E28+G28</f>
        <v/>
      </c>
      <c r="I28" s="20">
        <f>-SUM(G4:G14)</f>
        <v/>
      </c>
      <c r="J28" s="16">
        <f>E28+F28+G28+I28</f>
        <v/>
      </c>
      <c r="K28" s="25" t="n"/>
      <c r="L28" s="107" t="inlineStr">
        <is>
          <t xml:space="preserve">Execução </t>
        </is>
      </c>
      <c r="M28" s="107" t="inlineStr">
        <is>
          <t>10 meses</t>
        </is>
      </c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  <c r="AD28" s="25" t="n"/>
      <c r="AE28" s="25" t="n"/>
      <c r="AF28" s="25" t="n"/>
      <c r="AG28" s="25" t="n"/>
      <c r="AH28" s="25" t="n"/>
      <c r="AI28" s="25" t="n"/>
      <c r="AJ28" s="25" t="n"/>
      <c r="AK28" s="25" t="n"/>
      <c r="AL28" s="25" t="n"/>
      <c r="AM28" s="25" t="n"/>
      <c r="AN28" s="25" t="n"/>
      <c r="BC28" s="22" t="n"/>
      <c r="BI28" s="35" t="n"/>
      <c r="BJ28" s="35" t="n"/>
      <c r="BK28" s="35" t="n"/>
      <c r="BL28" s="35" t="n"/>
      <c r="BR28" s="36" t="n"/>
      <c r="BS28" s="36" t="n"/>
      <c r="BT28" s="36" t="n"/>
      <c r="BU28" s="36" t="n"/>
      <c r="BV28" s="36" t="n"/>
    </row>
    <row r="29" ht="18" customHeight="1" s="276">
      <c r="A29" s="7">
        <f>A28+1</f>
        <v/>
      </c>
      <c r="B29" s="17" t="inlineStr">
        <is>
          <t>Passagens / Locomoção</t>
        </is>
      </c>
      <c r="C29" s="8">
        <f>D29/2553140</f>
        <v/>
      </c>
      <c r="D29" s="12" t="n">
        <v>44800</v>
      </c>
      <c r="E29" s="13">
        <f>1989653*C29</f>
        <v/>
      </c>
      <c r="F29" s="14">
        <f>D29-E29</f>
        <v/>
      </c>
      <c r="G29" s="12" t="n">
        <v>0</v>
      </c>
      <c r="H29" s="15">
        <f>E29+G29</f>
        <v/>
      </c>
      <c r="I29" s="20">
        <f>-G16</f>
        <v/>
      </c>
      <c r="J29" s="16">
        <f>E29+F29+G29+I29</f>
        <v/>
      </c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  <c r="AD29" s="25" t="n"/>
      <c r="AE29" s="25" t="n"/>
      <c r="AF29" s="25" t="n"/>
      <c r="AG29" s="25" t="n"/>
      <c r="AH29" s="25" t="n"/>
      <c r="AI29" s="25" t="n"/>
      <c r="AJ29" s="25" t="n"/>
      <c r="AK29" s="25" t="n"/>
      <c r="AL29" s="25" t="n"/>
      <c r="AM29" s="25" t="n"/>
      <c r="AN29" s="25" t="n"/>
      <c r="BC29" s="22" t="n"/>
      <c r="BI29" s="35" t="n"/>
      <c r="BJ29" s="35" t="n"/>
      <c r="BK29" s="35" t="n"/>
      <c r="BL29" s="35" t="n"/>
      <c r="BR29" s="36" t="n"/>
      <c r="BS29" s="36" t="n"/>
      <c r="BT29" s="36" t="n"/>
      <c r="BU29" s="36" t="n"/>
      <c r="BV29" s="36" t="n"/>
    </row>
    <row r="30" ht="18" customHeight="1" s="276">
      <c r="A30" s="7">
        <f>A29+1</f>
        <v/>
      </c>
      <c r="B30" s="17" t="inlineStr">
        <is>
          <t>Diárias</t>
        </is>
      </c>
      <c r="C30" s="8">
        <f>D30/2553140</f>
        <v/>
      </c>
      <c r="D30" s="12" t="n">
        <v>21377.92</v>
      </c>
      <c r="E30" s="13">
        <f>1989653*C30</f>
        <v/>
      </c>
      <c r="F30" s="14">
        <f>D30-E30</f>
        <v/>
      </c>
      <c r="G30" s="12" t="n">
        <v>0</v>
      </c>
      <c r="H30" s="15">
        <f>E30+G30</f>
        <v/>
      </c>
      <c r="I30" s="20">
        <f>-G17</f>
        <v/>
      </c>
      <c r="J30" s="16">
        <f>E30+F30+G30+I30</f>
        <v/>
      </c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25" t="n"/>
      <c r="AH30" s="25" t="n"/>
      <c r="AI30" s="25" t="n"/>
      <c r="AJ30" s="25" t="n"/>
      <c r="AK30" s="25" t="n"/>
      <c r="AL30" s="25" t="n"/>
      <c r="AM30" s="25" t="n"/>
      <c r="AN30" s="25" t="n"/>
      <c r="BC30" s="22" t="n"/>
      <c r="BI30" s="35" t="n"/>
      <c r="BJ30" s="35" t="n"/>
      <c r="BK30" s="35" t="n"/>
      <c r="BL30" s="35" t="n"/>
      <c r="BR30" s="36" t="n"/>
      <c r="BS30" s="36" t="n"/>
      <c r="BT30" s="36" t="n"/>
      <c r="BU30" s="36" t="n"/>
      <c r="BV30" s="36" t="n"/>
    </row>
    <row r="31" ht="18" customHeight="1" s="276">
      <c r="A31" s="7">
        <f>A30+1</f>
        <v/>
      </c>
      <c r="B31" s="17" t="inlineStr">
        <is>
          <t>Serviços de Terceiros</t>
        </is>
      </c>
      <c r="C31" s="8">
        <f>D31/2553140</f>
        <v/>
      </c>
      <c r="D31" s="12" t="n">
        <v>570000</v>
      </c>
      <c r="E31" s="13">
        <f>1989653*C31</f>
        <v/>
      </c>
      <c r="F31" s="14">
        <f>D31-E31</f>
        <v/>
      </c>
      <c r="G31" s="12" t="n">
        <v>0</v>
      </c>
      <c r="H31" s="15">
        <f>E31+G31</f>
        <v/>
      </c>
      <c r="I31" s="20">
        <f>-G15</f>
        <v/>
      </c>
      <c r="J31" s="16">
        <f>E31+F31+G31+I31</f>
        <v/>
      </c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25" t="n"/>
      <c r="AH31" s="25" t="n"/>
      <c r="AI31" s="25" t="n"/>
      <c r="AJ31" s="25" t="n"/>
      <c r="AK31" s="25" t="n"/>
      <c r="AL31" s="25" t="n"/>
      <c r="AM31" s="25" t="n"/>
      <c r="AN31" s="25" t="n"/>
      <c r="BC31" s="22" t="n"/>
      <c r="BI31" s="35" t="n"/>
      <c r="BJ31" s="35" t="n"/>
      <c r="BK31" s="35" t="n"/>
      <c r="BL31" s="35" t="n"/>
      <c r="BR31" s="36" t="n"/>
      <c r="BS31" s="36" t="n"/>
      <c r="BT31" s="36" t="n"/>
      <c r="BU31" s="36" t="n"/>
      <c r="BV31" s="36" t="n"/>
    </row>
    <row r="32" ht="18" customHeight="1" s="276">
      <c r="A32" s="7">
        <f>A31+1</f>
        <v/>
      </c>
      <c r="B32" s="17" t="inlineStr">
        <is>
          <t>Material de Consumo</t>
        </is>
      </c>
      <c r="C32" s="8">
        <f>D32/2553140</f>
        <v/>
      </c>
      <c r="D32" s="12" t="n">
        <v>35000</v>
      </c>
      <c r="E32" s="13">
        <f>1989653*C32</f>
        <v/>
      </c>
      <c r="F32" s="14">
        <f>D32-E32</f>
        <v/>
      </c>
      <c r="G32" s="12" t="n">
        <v>0</v>
      </c>
      <c r="H32" s="15">
        <f>E32+G32</f>
        <v/>
      </c>
      <c r="I32" s="20">
        <f>-G18</f>
        <v/>
      </c>
      <c r="J32" s="16">
        <f>E32+F32+G32+I32</f>
        <v/>
      </c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25" t="n"/>
      <c r="AH32" s="25" t="n"/>
      <c r="AI32" s="25" t="n"/>
      <c r="AJ32" s="25" t="n"/>
      <c r="AK32" s="25" t="n"/>
      <c r="AL32" s="25" t="n"/>
      <c r="AM32" s="25" t="n"/>
      <c r="AN32" s="25" t="n"/>
      <c r="BC32" s="22" t="n"/>
      <c r="BI32" s="35" t="n"/>
      <c r="BJ32" s="35" t="n"/>
      <c r="BK32" s="35" t="n"/>
      <c r="BL32" s="35" t="n"/>
      <c r="BR32" s="36" t="n"/>
      <c r="BS32" s="36" t="n"/>
      <c r="BT32" s="36" t="n"/>
      <c r="BU32" s="36" t="n"/>
      <c r="BV32" s="36" t="n"/>
    </row>
    <row r="33" ht="18" customHeight="1" s="276">
      <c r="A33" s="7">
        <f>A32+1</f>
        <v/>
      </c>
      <c r="B33" s="17" t="inlineStr">
        <is>
          <t>Equipamentos</t>
        </is>
      </c>
      <c r="C33" s="8">
        <f>D33/2553140</f>
        <v/>
      </c>
      <c r="D33" s="12" t="n">
        <v>90000</v>
      </c>
      <c r="E33" s="13">
        <f>1989653*C33</f>
        <v/>
      </c>
      <c r="F33" s="14">
        <f>D33-E33</f>
        <v/>
      </c>
      <c r="G33" s="12" t="n">
        <v>0</v>
      </c>
      <c r="H33" s="15">
        <f>E33+G33</f>
        <v/>
      </c>
      <c r="I33" s="20" t="n">
        <v>0</v>
      </c>
      <c r="J33" s="16">
        <f>E33+F33+G33+I33</f>
        <v/>
      </c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25" t="n"/>
      <c r="AH33" s="25" t="n"/>
      <c r="AI33" s="25" t="n"/>
      <c r="AJ33" s="25" t="n"/>
      <c r="AK33" s="25" t="n"/>
      <c r="AL33" s="25" t="n"/>
      <c r="AM33" s="25" t="n"/>
      <c r="AN33" s="25" t="n"/>
      <c r="BC33" s="22" t="n"/>
      <c r="BI33" s="35" t="n"/>
      <c r="BJ33" s="35" t="n"/>
      <c r="BK33" s="35" t="n"/>
      <c r="BL33" s="35" t="n"/>
      <c r="BR33" s="36" t="n"/>
      <c r="BS33" s="36" t="n"/>
      <c r="BT33" s="36" t="n"/>
      <c r="BU33" s="36" t="n"/>
      <c r="BV33" s="36" t="n"/>
    </row>
    <row r="34" ht="18" customHeight="1" s="276">
      <c r="A34" s="7">
        <f>A33+1</f>
        <v/>
      </c>
      <c r="B34" s="17" t="inlineStr">
        <is>
          <t>UFSC</t>
        </is>
      </c>
      <c r="C34" s="8">
        <f>D34/2553140</f>
        <v/>
      </c>
      <c r="D34" s="12" t="n">
        <v>178719.8</v>
      </c>
      <c r="E34" s="13">
        <f>1989653*C34</f>
        <v/>
      </c>
      <c r="F34" s="14">
        <f>D34-E34</f>
        <v/>
      </c>
      <c r="G34" s="12" t="n">
        <v>0</v>
      </c>
      <c r="H34" s="15">
        <f>E34+G34</f>
        <v/>
      </c>
      <c r="I34" s="20">
        <f>-G21</f>
        <v/>
      </c>
      <c r="J34" s="16">
        <f>E34+F34+G34+I34</f>
        <v/>
      </c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25" t="n"/>
      <c r="AH34" s="25" t="n"/>
      <c r="AI34" s="25" t="n"/>
      <c r="AJ34" s="25" t="n"/>
      <c r="AK34" s="25" t="n"/>
      <c r="AL34" s="25" t="n"/>
      <c r="AM34" s="25" t="n"/>
      <c r="AN34" s="25" t="n"/>
      <c r="BC34" s="22" t="n"/>
      <c r="BI34" s="35" t="n"/>
      <c r="BJ34" s="35" t="n"/>
      <c r="BK34" s="35" t="n"/>
      <c r="BL34" s="35" t="n"/>
      <c r="BR34" s="36" t="n"/>
      <c r="BS34" s="36" t="n"/>
      <c r="BT34" s="36" t="n"/>
      <c r="BU34" s="36" t="n"/>
      <c r="BV34" s="36" t="n"/>
    </row>
    <row r="35" ht="18" customHeight="1" s="276">
      <c r="A35" s="7">
        <f>A34+1</f>
        <v/>
      </c>
      <c r="B35" s="17" t="inlineStr">
        <is>
          <t>Fundação</t>
        </is>
      </c>
      <c r="C35" s="8">
        <f>D35/2553140</f>
        <v/>
      </c>
      <c r="D35" s="12" t="n">
        <v>255314</v>
      </c>
      <c r="E35" s="13">
        <f>1989653*C35</f>
        <v/>
      </c>
      <c r="F35" s="14">
        <f>D35-E35</f>
        <v/>
      </c>
      <c r="G35" s="12" t="n">
        <v>-1464282.94</v>
      </c>
      <c r="H35" s="15">
        <f>E35+G35</f>
        <v/>
      </c>
      <c r="I35" s="20">
        <f>-G20</f>
        <v/>
      </c>
      <c r="J35" s="16">
        <f>E35+F35+G35+I35</f>
        <v/>
      </c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5" t="n"/>
      <c r="AI35" s="25" t="n"/>
      <c r="AJ35" s="25" t="n"/>
      <c r="AK35" s="25" t="n"/>
      <c r="AL35" s="25" t="n"/>
      <c r="AM35" s="25" t="n"/>
      <c r="AN35" s="25" t="n"/>
      <c r="BC35" s="22" t="n"/>
      <c r="BI35" s="35" t="n"/>
      <c r="BJ35" s="35" t="n"/>
      <c r="BK35" s="35" t="n"/>
      <c r="BL35" s="35" t="n"/>
      <c r="BR35" s="36" t="n"/>
      <c r="BS35" s="36" t="n"/>
      <c r="BT35" s="36" t="n"/>
      <c r="BU35" s="36" t="n"/>
      <c r="BV35" s="36" t="n"/>
    </row>
    <row r="36" ht="18" customHeight="1" s="276">
      <c r="A36" s="38" t="n"/>
      <c r="B36" s="37" t="inlineStr">
        <is>
          <t>Totais</t>
        </is>
      </c>
      <c r="C36" s="39">
        <f>SUM(C27:C35)</f>
        <v/>
      </c>
      <c r="D36" s="40">
        <f>SUM(D27:D35)</f>
        <v/>
      </c>
      <c r="E36" s="40">
        <f>SUM(E27:E35)</f>
        <v/>
      </c>
      <c r="F36" s="40">
        <f>SUM(F27:F35)</f>
        <v/>
      </c>
      <c r="G36" s="40">
        <f>SUM(G27:G35)</f>
        <v/>
      </c>
      <c r="H36" s="40">
        <f>SUM(H27:H35)</f>
        <v/>
      </c>
      <c r="I36" s="41">
        <f>SUM(I27:I35)</f>
        <v/>
      </c>
      <c r="J36" s="40">
        <f>SUM(J27:J35)</f>
        <v/>
      </c>
      <c r="K36" s="81" t="n"/>
      <c r="L36" s="81" t="n"/>
      <c r="M36" s="81" t="n"/>
      <c r="N36" s="81" t="n"/>
      <c r="O36" s="81" t="n"/>
      <c r="P36" s="81" t="n"/>
      <c r="Q36" s="81" t="n"/>
      <c r="R36" s="81" t="n"/>
      <c r="S36" s="81" t="n"/>
      <c r="T36" s="81" t="n"/>
      <c r="U36" s="81" t="n"/>
      <c r="V36" s="81" t="n"/>
      <c r="W36" s="81" t="n"/>
      <c r="X36" s="81" t="n"/>
      <c r="Y36" s="81" t="n"/>
      <c r="Z36" s="81" t="n"/>
      <c r="AA36" s="81" t="n"/>
      <c r="AB36" s="81" t="n"/>
      <c r="AC36" s="81" t="n"/>
      <c r="AD36" s="81" t="n"/>
      <c r="AE36" s="81" t="n"/>
      <c r="AF36" s="81" t="n"/>
      <c r="AG36" s="81" t="n"/>
      <c r="AH36" s="81" t="n"/>
      <c r="AI36" s="81" t="n"/>
      <c r="AJ36" s="81" t="n"/>
      <c r="AK36" s="81" t="n"/>
      <c r="AL36" s="81" t="n"/>
      <c r="AM36" s="81" t="n"/>
      <c r="AN36" s="81" t="n"/>
      <c r="BC36" s="26" t="n"/>
      <c r="BI36" s="26" t="n"/>
      <c r="BJ36" s="26" t="n"/>
      <c r="BK36" s="26" t="n"/>
      <c r="BL36" s="26" t="n"/>
      <c r="BR36" s="19" t="n"/>
      <c r="BS36" s="19" t="n"/>
      <c r="BT36" s="19" t="n"/>
      <c r="BU36" s="19" t="n"/>
      <c r="BV36" s="19" t="n"/>
    </row>
    <row r="37">
      <c r="L37" s="42" t="n"/>
    </row>
    <row r="38">
      <c r="J38" s="42" t="n">
        <v>240770</v>
      </c>
    </row>
    <row r="39">
      <c r="J39" s="42">
        <f>J38-J36</f>
        <v/>
      </c>
    </row>
    <row r="40">
      <c r="G40" s="42" t="n"/>
    </row>
  </sheetData>
  <mergeCells count="20">
    <mergeCell ref="A24:B24"/>
    <mergeCell ref="B16:C16"/>
    <mergeCell ref="B7:C7"/>
    <mergeCell ref="B3:C3"/>
    <mergeCell ref="B18:C18"/>
    <mergeCell ref="B12:C12"/>
    <mergeCell ref="B11:C11"/>
    <mergeCell ref="A23:C23"/>
    <mergeCell ref="A22:C22"/>
    <mergeCell ref="B14:C14"/>
    <mergeCell ref="B17:C17"/>
    <mergeCell ref="B8:C8"/>
    <mergeCell ref="B13:C13"/>
    <mergeCell ref="A19:C19"/>
    <mergeCell ref="B10:C10"/>
    <mergeCell ref="B9:C9"/>
    <mergeCell ref="B6:C6"/>
    <mergeCell ref="B15:C15"/>
    <mergeCell ref="B5:C5"/>
    <mergeCell ref="B4:C4"/>
  </mergeCells>
  <conditionalFormatting sqref="D2:G24">
    <cfRule type="expression" priority="1" dxfId="3">
      <formula>ISBLANK(D2)</formula>
    </cfRule>
  </conditionalFormatting>
  <pageMargins left="0.5118110236220472" right="0.5118110236220472" top="0.7874015748031497" bottom="0.7874015748031497" header="0.3149606299212598" footer="0.3149606299212598"/>
  <pageSetup orientation="landscape" paperSize="9" horizontalDpi="300" verticalDpi="300"/>
  <headerFooter>
    <oddHeader>&amp;C&amp;"Arial,Negrito"&amp;12 SGG Goiás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A454"/>
  <sheetViews>
    <sheetView view="pageBreakPreview" zoomScaleNormal="100" zoomScaleSheetLayoutView="100" workbookViewId="0">
      <pane ySplit="1" topLeftCell="A114" activePane="bottomLeft" state="frozen"/>
      <selection pane="bottomLeft" activeCell="J136" sqref="J136"/>
    </sheetView>
    <sheetView workbookViewId="1">
      <selection activeCell="A1" sqref="A1"/>
    </sheetView>
  </sheetViews>
  <sheetFormatPr baseColWidth="8" defaultColWidth="11.42578125" defaultRowHeight="12"/>
  <cols>
    <col width="4.85546875" bestFit="1" customWidth="1" style="59" min="1" max="1"/>
    <col width="19" customWidth="1" style="47" min="2" max="2"/>
    <col width="7" customWidth="1" style="47" min="3" max="3"/>
    <col width="10.42578125" customWidth="1" style="47" min="4" max="4"/>
    <col width="10.140625" customWidth="1" style="47" min="5" max="154"/>
    <col width="10.7109375" customWidth="1" style="47" min="155" max="162"/>
    <col width="9.5703125" customWidth="1" style="47" min="163" max="163"/>
    <col width="9.85546875" customWidth="1" style="47" min="164" max="164"/>
    <col width="9.140625" customWidth="1" style="47" min="165" max="165"/>
    <col width="9" customWidth="1" style="47" min="166" max="166"/>
    <col width="9.7109375" customWidth="1" style="47" min="167" max="167"/>
    <col width="10.28515625" customWidth="1" style="47" min="168" max="168"/>
    <col width="9.85546875" bestFit="1" customWidth="1" style="47" min="169" max="169"/>
    <col width="9" customWidth="1" style="47" min="170" max="170"/>
    <col width="9.85546875" bestFit="1" customWidth="1" style="47" min="171" max="171"/>
    <col width="9" customWidth="1" style="47" min="172" max="174"/>
    <col width="9.85546875" bestFit="1" customWidth="1" style="47" min="175" max="176"/>
    <col width="9.85546875" customWidth="1" style="47" min="177" max="177"/>
    <col width="11.7109375" customWidth="1" style="47" min="178" max="178"/>
    <col width="10.7109375" customWidth="1" style="47" min="179" max="179"/>
    <col width="10.140625" customWidth="1" style="47" min="180" max="180"/>
    <col width="9" customWidth="1" style="47" min="181" max="182"/>
    <col width="10.42578125" customWidth="1" style="47" min="183" max="183"/>
    <col width="11.42578125" customWidth="1" style="47" min="184" max="185"/>
    <col width="11.42578125" customWidth="1" style="47" min="186" max="16384"/>
  </cols>
  <sheetData>
    <row r="1" ht="13.9" customHeight="1" s="276">
      <c r="A1" s="43" t="inlineStr">
        <is>
          <t>N˚</t>
        </is>
      </c>
      <c r="B1" s="44" t="inlineStr">
        <is>
          <t>Receita</t>
        </is>
      </c>
      <c r="C1" s="45" t="n"/>
      <c r="D1" s="46" t="inlineStr">
        <is>
          <t>Até mai/26</t>
        </is>
      </c>
      <c r="E1" s="46" t="n">
        <v>46174</v>
      </c>
      <c r="F1" s="46" t="n">
        <v>46204</v>
      </c>
      <c r="G1" s="46" t="n">
        <v>46235</v>
      </c>
      <c r="H1" s="46" t="n">
        <v>46266</v>
      </c>
      <c r="I1" s="46" t="n">
        <v>46296</v>
      </c>
      <c r="J1" s="46" t="n">
        <v>46327</v>
      </c>
      <c r="K1" s="46" t="n">
        <v>46357</v>
      </c>
      <c r="L1" s="46" t="n">
        <v>46388</v>
      </c>
      <c r="M1" s="46" t="n">
        <v>46419</v>
      </c>
      <c r="N1" s="46" t="n">
        <v>46447</v>
      </c>
      <c r="O1" s="46" t="n">
        <v>46478</v>
      </c>
      <c r="P1" s="46" t="n">
        <v>46508</v>
      </c>
      <c r="Q1" s="46" t="n">
        <v>46539</v>
      </c>
      <c r="R1" s="46" t="n">
        <v>46569</v>
      </c>
      <c r="S1" s="46" t="n">
        <v>46600</v>
      </c>
      <c r="T1" s="46" t="n">
        <v>46631</v>
      </c>
      <c r="U1" s="46" t="n">
        <v>46661</v>
      </c>
      <c r="V1" s="46" t="n">
        <v>46692</v>
      </c>
      <c r="W1" s="46" t="n">
        <v>46722</v>
      </c>
      <c r="X1" s="46" t="n">
        <v>46753</v>
      </c>
      <c r="Y1" s="46" t="n">
        <v>46784</v>
      </c>
      <c r="Z1" s="46" t="n">
        <v>46813</v>
      </c>
      <c r="AA1" s="46" t="n">
        <v>46844</v>
      </c>
      <c r="AB1" s="46" t="n">
        <v>46874</v>
      </c>
      <c r="AC1" s="46" t="n">
        <v>46905</v>
      </c>
      <c r="AD1" s="46" t="n">
        <v>46935</v>
      </c>
      <c r="AE1" s="46" t="n">
        <v>46966</v>
      </c>
      <c r="AF1" s="46" t="n">
        <v>46997</v>
      </c>
      <c r="AG1" s="46" t="n">
        <v>47027</v>
      </c>
      <c r="AH1" s="46" t="n">
        <v>47058</v>
      </c>
      <c r="AI1" s="46" t="n">
        <v>47088</v>
      </c>
      <c r="AJ1" s="46" t="n">
        <v>47119</v>
      </c>
      <c r="AK1" s="46" t="n">
        <v>47150</v>
      </c>
      <c r="AL1" s="46" t="n">
        <v>47178</v>
      </c>
      <c r="AM1" s="46" t="n">
        <v>47209</v>
      </c>
      <c r="AN1" s="46" t="n">
        <v>47239</v>
      </c>
      <c r="AO1" s="46" t="n">
        <v>47270</v>
      </c>
      <c r="AP1" s="46" t="n">
        <v>47300</v>
      </c>
      <c r="AQ1" s="46" t="n">
        <v>47331</v>
      </c>
      <c r="AR1" s="46" t="n">
        <v>47362</v>
      </c>
      <c r="AS1" s="46" t="n">
        <v>47392</v>
      </c>
      <c r="AT1" s="46" t="n">
        <v>47423</v>
      </c>
      <c r="AU1" s="46" t="n">
        <v>47453</v>
      </c>
      <c r="AV1" s="46" t="n">
        <v>47484</v>
      </c>
      <c r="AW1" s="46" t="n">
        <v>47515</v>
      </c>
      <c r="AX1" s="46" t="n">
        <v>47543</v>
      </c>
      <c r="AY1" s="46" t="n">
        <v>47574</v>
      </c>
      <c r="AZ1" s="46" t="n">
        <v>47604</v>
      </c>
      <c r="BA1" s="46" t="n">
        <v>47635</v>
      </c>
      <c r="BB1" s="46" t="n">
        <v>47665</v>
      </c>
      <c r="BC1" s="46" t="n">
        <v>47696</v>
      </c>
      <c r="BD1" s="46" t="n">
        <v>47727</v>
      </c>
      <c r="BE1" s="46" t="n">
        <v>47757</v>
      </c>
      <c r="BF1" s="46" t="n">
        <v>47788</v>
      </c>
      <c r="BG1" s="46" t="n">
        <v>47818</v>
      </c>
      <c r="BH1" s="46" t="inlineStr">
        <is>
          <t>Totais</t>
        </is>
      </c>
    </row>
    <row r="2" ht="13.9" customHeight="1" s="276">
      <c r="A2" s="48" t="n">
        <v>1</v>
      </c>
      <c r="B2" s="49" t="inlineStr">
        <is>
          <t>Parcelas</t>
        </is>
      </c>
      <c r="C2" s="50" t="n"/>
      <c r="D2" s="346">
        <f>E136</f>
        <v/>
      </c>
      <c r="E2" s="347" t="n">
        <v>0</v>
      </c>
      <c r="F2" s="347" t="n">
        <v>0</v>
      </c>
      <c r="G2" s="347" t="n">
        <v>0</v>
      </c>
      <c r="H2" s="347" t="n">
        <v>0</v>
      </c>
      <c r="I2" s="347" t="n">
        <v>0</v>
      </c>
      <c r="J2" s="347" t="n">
        <v>4050411</v>
      </c>
      <c r="K2" s="347" t="n">
        <v>0</v>
      </c>
      <c r="L2" s="347" t="n">
        <v>0</v>
      </c>
      <c r="M2" s="347" t="n">
        <v>0</v>
      </c>
      <c r="N2" s="347" t="n">
        <v>3654500</v>
      </c>
      <c r="O2" s="347" t="n">
        <v>0</v>
      </c>
      <c r="P2" s="347" t="n">
        <v>0</v>
      </c>
      <c r="Q2" s="347" t="n">
        <v>0</v>
      </c>
      <c r="R2" s="347" t="n">
        <v>3525320</v>
      </c>
      <c r="S2" s="347" t="n">
        <v>0</v>
      </c>
      <c r="T2" s="347" t="n">
        <v>0</v>
      </c>
      <c r="U2" s="347" t="n">
        <v>0</v>
      </c>
      <c r="V2" s="347" t="n">
        <v>3482260</v>
      </c>
      <c r="W2" s="347" t="n">
        <v>0</v>
      </c>
      <c r="X2" s="347" t="n">
        <v>0</v>
      </c>
      <c r="Y2" s="347" t="n">
        <v>0</v>
      </c>
      <c r="Z2" s="347" t="n">
        <v>3482260</v>
      </c>
      <c r="AA2" s="347" t="n">
        <v>0</v>
      </c>
      <c r="AB2" s="347" t="n">
        <v>0</v>
      </c>
      <c r="AC2" s="347" t="n">
        <v>0</v>
      </c>
      <c r="AD2" s="347" t="n">
        <v>3482260</v>
      </c>
      <c r="AE2" s="347" t="n">
        <v>0</v>
      </c>
      <c r="AF2" s="347" t="n">
        <v>0</v>
      </c>
      <c r="AG2" s="347" t="n">
        <v>0</v>
      </c>
      <c r="AH2" s="347" t="n">
        <v>3482260</v>
      </c>
      <c r="AI2" s="347" t="n">
        <v>0</v>
      </c>
      <c r="AJ2" s="347" t="n">
        <v>0</v>
      </c>
      <c r="AK2" s="347" t="n">
        <v>0</v>
      </c>
      <c r="AL2" s="347" t="n">
        <v>3482260</v>
      </c>
      <c r="AM2" s="347" t="n">
        <v>0</v>
      </c>
      <c r="AN2" s="347" t="n">
        <v>0</v>
      </c>
      <c r="AO2" s="347" t="n">
        <v>0</v>
      </c>
      <c r="AP2" s="347" t="n">
        <v>3482260</v>
      </c>
      <c r="AQ2" s="347" t="n">
        <v>0</v>
      </c>
      <c r="AR2" s="347" t="n">
        <v>0</v>
      </c>
      <c r="AS2" s="347" t="n">
        <v>0</v>
      </c>
      <c r="AT2" s="347" t="n">
        <v>2555948</v>
      </c>
      <c r="AU2" s="347" t="n">
        <v>0</v>
      </c>
      <c r="AV2" s="347" t="n">
        <v>0</v>
      </c>
      <c r="AW2" s="347" t="n">
        <v>0</v>
      </c>
      <c r="AX2" s="347" t="n">
        <v>2555948</v>
      </c>
      <c r="AY2" s="347" t="n">
        <v>0</v>
      </c>
      <c r="AZ2" s="347" t="n">
        <v>0</v>
      </c>
      <c r="BA2" s="347" t="n">
        <v>0</v>
      </c>
      <c r="BB2" s="347" t="n">
        <v>3534567</v>
      </c>
      <c r="BC2" s="347" t="n">
        <v>0</v>
      </c>
      <c r="BD2" s="347" t="n">
        <v>0</v>
      </c>
      <c r="BE2" s="347" t="n">
        <v>0</v>
      </c>
      <c r="BF2" s="347" t="n">
        <v>0</v>
      </c>
      <c r="BG2" s="347" t="n">
        <v>0</v>
      </c>
      <c r="BH2" s="348">
        <f>SUM(D2:BG2)</f>
        <v/>
      </c>
    </row>
    <row r="3" ht="13.9" customHeight="1" s="276">
      <c r="A3" s="51" t="inlineStr">
        <is>
          <t>N˚</t>
        </is>
      </c>
      <c r="B3" s="284" t="inlineStr">
        <is>
          <t>Despesas</t>
        </is>
      </c>
      <c r="C3" s="257" t="n"/>
      <c r="D3" s="255" t="n"/>
      <c r="E3" s="52">
        <f>E1</f>
        <v/>
      </c>
      <c r="F3" s="52">
        <f>F1</f>
        <v/>
      </c>
      <c r="G3" s="52">
        <f>G1</f>
        <v/>
      </c>
      <c r="H3" s="52">
        <f>H1</f>
        <v/>
      </c>
      <c r="I3" s="52">
        <f>I1</f>
        <v/>
      </c>
      <c r="J3" s="52">
        <f>J1</f>
        <v/>
      </c>
      <c r="K3" s="52">
        <f>K1</f>
        <v/>
      </c>
      <c r="L3" s="52">
        <f>L1</f>
        <v/>
      </c>
      <c r="M3" s="52">
        <f>M1</f>
        <v/>
      </c>
      <c r="N3" s="52">
        <f>N1</f>
        <v/>
      </c>
      <c r="O3" s="52">
        <f>O1</f>
        <v/>
      </c>
      <c r="P3" s="52">
        <f>P1</f>
        <v/>
      </c>
      <c r="Q3" s="52">
        <f>Q1</f>
        <v/>
      </c>
      <c r="R3" s="52">
        <f>R1</f>
        <v/>
      </c>
      <c r="S3" s="52">
        <f>S1</f>
        <v/>
      </c>
      <c r="T3" s="52">
        <f>T1</f>
        <v/>
      </c>
      <c r="U3" s="52">
        <f>U1</f>
        <v/>
      </c>
      <c r="V3" s="52">
        <f>V1</f>
        <v/>
      </c>
      <c r="W3" s="52">
        <f>W1</f>
        <v/>
      </c>
      <c r="X3" s="52">
        <f>X1</f>
        <v/>
      </c>
      <c r="Y3" s="52">
        <f>Y1</f>
        <v/>
      </c>
      <c r="Z3" s="52">
        <f>Z1</f>
        <v/>
      </c>
      <c r="AA3" s="52">
        <f>AA1</f>
        <v/>
      </c>
      <c r="AB3" s="52">
        <f>AB1</f>
        <v/>
      </c>
      <c r="AC3" s="52">
        <f>AC1</f>
        <v/>
      </c>
      <c r="AD3" s="52">
        <f>AD1</f>
        <v/>
      </c>
      <c r="AE3" s="52">
        <f>AE1</f>
        <v/>
      </c>
      <c r="AF3" s="52">
        <f>AF1</f>
        <v/>
      </c>
      <c r="AG3" s="52">
        <f>AG1</f>
        <v/>
      </c>
      <c r="AH3" s="52">
        <f>AH1</f>
        <v/>
      </c>
      <c r="AI3" s="52">
        <f>AI1</f>
        <v/>
      </c>
      <c r="AJ3" s="52">
        <f>AJ1</f>
        <v/>
      </c>
      <c r="AK3" s="52">
        <f>AK1</f>
        <v/>
      </c>
      <c r="AL3" s="52">
        <f>AL1</f>
        <v/>
      </c>
      <c r="AM3" s="52">
        <f>AM1</f>
        <v/>
      </c>
      <c r="AN3" s="52">
        <f>AN1</f>
        <v/>
      </c>
      <c r="AO3" s="52">
        <f>AO1</f>
        <v/>
      </c>
      <c r="AP3" s="52">
        <f>AP1</f>
        <v/>
      </c>
      <c r="AQ3" s="52">
        <f>AQ1</f>
        <v/>
      </c>
      <c r="AR3" s="52">
        <f>AR1</f>
        <v/>
      </c>
      <c r="AS3" s="52">
        <f>AS1</f>
        <v/>
      </c>
      <c r="AT3" s="52">
        <f>AT1</f>
        <v/>
      </c>
      <c r="AU3" s="52">
        <f>AU1</f>
        <v/>
      </c>
      <c r="AV3" s="52">
        <f>AV1</f>
        <v/>
      </c>
      <c r="AW3" s="52">
        <f>AW1</f>
        <v/>
      </c>
      <c r="AX3" s="52">
        <f>AX1</f>
        <v/>
      </c>
      <c r="AY3" s="52">
        <f>AY1</f>
        <v/>
      </c>
      <c r="AZ3" s="52">
        <f>AZ1</f>
        <v/>
      </c>
      <c r="BA3" s="52">
        <f>BA1</f>
        <v/>
      </c>
      <c r="BB3" s="52">
        <f>BB1</f>
        <v/>
      </c>
      <c r="BC3" s="52">
        <f>BC1</f>
        <v/>
      </c>
      <c r="BD3" s="52">
        <f>BD1</f>
        <v/>
      </c>
      <c r="BE3" s="52">
        <f>BE1</f>
        <v/>
      </c>
      <c r="BF3" s="52">
        <f>BF1</f>
        <v/>
      </c>
      <c r="BG3" s="52">
        <f>BG1</f>
        <v/>
      </c>
      <c r="BH3" s="53" t="inlineStr">
        <is>
          <t>Totais</t>
        </is>
      </c>
    </row>
    <row r="4" ht="13.9" customFormat="1" customHeight="1" s="54">
      <c r="A4" s="48" t="n">
        <v>1</v>
      </c>
      <c r="B4" s="277" t="inlineStr">
        <is>
          <t>Alana Vargas Magalhães</t>
        </is>
      </c>
      <c r="C4" s="257" t="n"/>
      <c r="D4" s="255" t="n"/>
      <c r="E4" s="349" t="n">
        <v>11709.19</v>
      </c>
      <c r="F4" s="349" t="n">
        <v>11709.19</v>
      </c>
      <c r="G4" s="349" t="n">
        <v>11709.19</v>
      </c>
      <c r="H4" s="349" t="n">
        <v>11709.19</v>
      </c>
      <c r="I4" s="349" t="n">
        <v>11709.19</v>
      </c>
      <c r="J4" s="349" t="n">
        <v>11709.19</v>
      </c>
      <c r="K4" s="349" t="n">
        <v>11709.19</v>
      </c>
      <c r="L4" s="349" t="n">
        <v>11709.19</v>
      </c>
      <c r="M4" s="349" t="n">
        <v>11709.19</v>
      </c>
      <c r="N4" s="349">
        <f>M4*1.05</f>
        <v/>
      </c>
      <c r="O4" s="349">
        <f>N4</f>
        <v/>
      </c>
      <c r="P4" s="349">
        <f>O4</f>
        <v/>
      </c>
      <c r="Q4" s="349">
        <f>P4</f>
        <v/>
      </c>
      <c r="R4" s="349">
        <f>Q4</f>
        <v/>
      </c>
      <c r="S4" s="349">
        <f>R4</f>
        <v/>
      </c>
      <c r="T4" s="349">
        <f>S4</f>
        <v/>
      </c>
      <c r="U4" s="349">
        <f>T4</f>
        <v/>
      </c>
      <c r="V4" s="349">
        <f>U4</f>
        <v/>
      </c>
      <c r="W4" s="349">
        <f>V4</f>
        <v/>
      </c>
      <c r="X4" s="349">
        <f>W4</f>
        <v/>
      </c>
      <c r="Y4" s="349">
        <f>X4</f>
        <v/>
      </c>
      <c r="Z4" s="349">
        <f>Y4*1.05</f>
        <v/>
      </c>
      <c r="AA4" s="349">
        <f>Z4</f>
        <v/>
      </c>
      <c r="AB4" s="349">
        <f>AA4</f>
        <v/>
      </c>
      <c r="AC4" s="349">
        <f>AB4</f>
        <v/>
      </c>
      <c r="AD4" s="349">
        <f>AC4</f>
        <v/>
      </c>
      <c r="AE4" s="349">
        <f>AD4</f>
        <v/>
      </c>
      <c r="AF4" s="349">
        <f>AE4</f>
        <v/>
      </c>
      <c r="AG4" s="349">
        <f>AF4</f>
        <v/>
      </c>
      <c r="AH4" s="349">
        <f>AG4</f>
        <v/>
      </c>
      <c r="AI4" s="349">
        <f>AH4</f>
        <v/>
      </c>
      <c r="AJ4" s="349">
        <f>AI4</f>
        <v/>
      </c>
      <c r="AK4" s="349">
        <f>AJ4</f>
        <v/>
      </c>
      <c r="AL4" s="349">
        <f>AK4*1.05</f>
        <v/>
      </c>
      <c r="AM4" s="349">
        <f>AL4</f>
        <v/>
      </c>
      <c r="AN4" s="349">
        <f>AM4</f>
        <v/>
      </c>
      <c r="AO4" s="349">
        <f>AN4</f>
        <v/>
      </c>
      <c r="AP4" s="349">
        <f>AO4</f>
        <v/>
      </c>
      <c r="AQ4" s="349">
        <f>AP4</f>
        <v/>
      </c>
      <c r="AR4" s="349">
        <f>AQ4</f>
        <v/>
      </c>
      <c r="AS4" s="349">
        <f>AR4</f>
        <v/>
      </c>
      <c r="AT4" s="349">
        <f>AS4</f>
        <v/>
      </c>
      <c r="AU4" s="349">
        <f>AT4</f>
        <v/>
      </c>
      <c r="AV4" s="349">
        <f>AU4</f>
        <v/>
      </c>
      <c r="AW4" s="349">
        <f>AV4</f>
        <v/>
      </c>
      <c r="AX4" s="349" t="n"/>
      <c r="AY4" s="349" t="n"/>
      <c r="AZ4" s="349" t="n"/>
      <c r="BA4" s="349" t="n"/>
      <c r="BB4" s="349" t="n"/>
      <c r="BC4" s="349" t="n"/>
      <c r="BD4" s="349" t="n"/>
      <c r="BE4" s="349" t="n"/>
      <c r="BF4" s="349" t="n"/>
      <c r="BG4" s="349" t="n"/>
      <c r="BH4" s="350">
        <f>SUM(E4:BG4)</f>
        <v/>
      </c>
    </row>
    <row r="5" ht="13.9" customFormat="1" customHeight="1" s="54">
      <c r="A5" s="48">
        <f>A4+1</f>
        <v/>
      </c>
      <c r="B5" s="277" t="inlineStr">
        <is>
          <t>Amanda Costa da Silva</t>
        </is>
      </c>
      <c r="C5" s="257" t="n"/>
      <c r="D5" s="255" t="n"/>
      <c r="E5" s="349" t="n">
        <v>4174.4</v>
      </c>
      <c r="F5" s="349" t="n">
        <v>4174.4</v>
      </c>
      <c r="G5" s="349" t="n">
        <v>4174.4</v>
      </c>
      <c r="H5" s="349" t="n">
        <v>4174.4</v>
      </c>
      <c r="I5" s="349" t="n">
        <v>4174.4</v>
      </c>
      <c r="J5" s="349" t="n">
        <v>4174.4</v>
      </c>
      <c r="K5" s="349" t="n">
        <v>4174.4</v>
      </c>
      <c r="L5" s="349" t="n">
        <v>4174.4</v>
      </c>
      <c r="M5" s="349" t="n">
        <v>4174.4</v>
      </c>
      <c r="N5" s="349">
        <f>M5*1.05</f>
        <v/>
      </c>
      <c r="O5" s="349">
        <f>N5</f>
        <v/>
      </c>
      <c r="P5" s="349">
        <f>O5</f>
        <v/>
      </c>
      <c r="Q5" s="349">
        <f>P5</f>
        <v/>
      </c>
      <c r="R5" s="349">
        <f>Q5</f>
        <v/>
      </c>
      <c r="S5" s="349">
        <f>R5</f>
        <v/>
      </c>
      <c r="T5" s="349">
        <f>S5</f>
        <v/>
      </c>
      <c r="U5" s="349">
        <f>T5</f>
        <v/>
      </c>
      <c r="V5" s="349">
        <f>U5</f>
        <v/>
      </c>
      <c r="W5" s="349">
        <f>V5</f>
        <v/>
      </c>
      <c r="X5" s="349">
        <f>W5</f>
        <v/>
      </c>
      <c r="Y5" s="349">
        <f>X5</f>
        <v/>
      </c>
      <c r="Z5" s="349">
        <f>Y5*1.05</f>
        <v/>
      </c>
      <c r="AA5" s="349">
        <f>Z5</f>
        <v/>
      </c>
      <c r="AB5" s="349">
        <f>AA5</f>
        <v/>
      </c>
      <c r="AC5" s="349">
        <f>AB5</f>
        <v/>
      </c>
      <c r="AD5" s="349">
        <f>AC5</f>
        <v/>
      </c>
      <c r="AE5" s="349">
        <f>AD5</f>
        <v/>
      </c>
      <c r="AF5" s="349">
        <f>AE5</f>
        <v/>
      </c>
      <c r="AG5" s="349">
        <f>AF5</f>
        <v/>
      </c>
      <c r="AH5" s="349">
        <f>AG5</f>
        <v/>
      </c>
      <c r="AI5" s="349">
        <f>AH5</f>
        <v/>
      </c>
      <c r="AJ5" s="349">
        <f>AI5</f>
        <v/>
      </c>
      <c r="AK5" s="349">
        <f>AJ5</f>
        <v/>
      </c>
      <c r="AL5" s="349">
        <f>AK5*1.05</f>
        <v/>
      </c>
      <c r="AM5" s="349">
        <f>AL5</f>
        <v/>
      </c>
      <c r="AN5" s="349">
        <f>AM5</f>
        <v/>
      </c>
      <c r="AO5" s="349">
        <f>AN5</f>
        <v/>
      </c>
      <c r="AP5" s="349">
        <f>AO5</f>
        <v/>
      </c>
      <c r="AQ5" s="349">
        <f>AP5</f>
        <v/>
      </c>
      <c r="AR5" s="349">
        <f>AQ5</f>
        <v/>
      </c>
      <c r="AS5" s="349">
        <f>AR5</f>
        <v/>
      </c>
      <c r="AT5" s="349">
        <f>AS5</f>
        <v/>
      </c>
      <c r="AU5" s="349">
        <f>AT5</f>
        <v/>
      </c>
      <c r="AV5" s="349">
        <f>AU5</f>
        <v/>
      </c>
      <c r="AW5" s="349">
        <f>AV5</f>
        <v/>
      </c>
      <c r="AX5" s="349" t="n"/>
      <c r="AY5" s="349" t="n"/>
      <c r="AZ5" s="349" t="n"/>
      <c r="BA5" s="349" t="n"/>
      <c r="BB5" s="349" t="n"/>
      <c r="BC5" s="349" t="n"/>
      <c r="BD5" s="349" t="n"/>
      <c r="BE5" s="349" t="n"/>
      <c r="BF5" s="349" t="n"/>
      <c r="BG5" s="349" t="n"/>
      <c r="BH5" s="350">
        <f>SUM(E5:BG5)</f>
        <v/>
      </c>
    </row>
    <row r="6" ht="13.9" customFormat="1" customHeight="1" s="54">
      <c r="A6" s="48">
        <f>A5+1</f>
        <v/>
      </c>
      <c r="B6" s="277" t="inlineStr">
        <is>
          <t>Ana Carolina Riquerti Orsi</t>
        </is>
      </c>
      <c r="C6" s="257" t="n"/>
      <c r="D6" s="255" t="n"/>
      <c r="E6" s="349" t="n">
        <v>6067.48</v>
      </c>
      <c r="F6" s="349" t="n">
        <v>6067.48</v>
      </c>
      <c r="G6" s="349" t="n">
        <v>6067.48</v>
      </c>
      <c r="H6" s="349" t="n">
        <v>6067.48</v>
      </c>
      <c r="I6" s="349" t="n">
        <v>6067.48</v>
      </c>
      <c r="J6" s="349" t="n">
        <v>6067.48</v>
      </c>
      <c r="K6" s="349" t="n">
        <v>6067.48</v>
      </c>
      <c r="L6" s="349" t="n">
        <v>6067.48</v>
      </c>
      <c r="M6" s="349" t="n">
        <v>6067.48</v>
      </c>
      <c r="N6" s="349">
        <f>M6*1.05</f>
        <v/>
      </c>
      <c r="O6" s="349">
        <f>N6</f>
        <v/>
      </c>
      <c r="P6" s="349">
        <f>O6</f>
        <v/>
      </c>
      <c r="Q6" s="349">
        <f>P6</f>
        <v/>
      </c>
      <c r="R6" s="349">
        <f>Q6</f>
        <v/>
      </c>
      <c r="S6" s="349">
        <f>R6</f>
        <v/>
      </c>
      <c r="T6" s="349">
        <f>S6</f>
        <v/>
      </c>
      <c r="U6" s="349">
        <f>T6</f>
        <v/>
      </c>
      <c r="V6" s="349">
        <f>U6</f>
        <v/>
      </c>
      <c r="W6" s="349">
        <f>V6</f>
        <v/>
      </c>
      <c r="X6" s="349">
        <f>W6</f>
        <v/>
      </c>
      <c r="Y6" s="349">
        <f>X6</f>
        <v/>
      </c>
      <c r="Z6" s="349">
        <f>Y6*1.05</f>
        <v/>
      </c>
      <c r="AA6" s="349">
        <f>Z6</f>
        <v/>
      </c>
      <c r="AB6" s="349">
        <f>AA6</f>
        <v/>
      </c>
      <c r="AC6" s="349">
        <f>AB6</f>
        <v/>
      </c>
      <c r="AD6" s="349">
        <f>AC6</f>
        <v/>
      </c>
      <c r="AE6" s="349">
        <f>AD6</f>
        <v/>
      </c>
      <c r="AF6" s="349">
        <f>AE6</f>
        <v/>
      </c>
      <c r="AG6" s="349">
        <f>AF6</f>
        <v/>
      </c>
      <c r="AH6" s="349">
        <f>AG6</f>
        <v/>
      </c>
      <c r="AI6" s="349">
        <f>AH6</f>
        <v/>
      </c>
      <c r="AJ6" s="349">
        <f>AI6</f>
        <v/>
      </c>
      <c r="AK6" s="349">
        <f>AJ6</f>
        <v/>
      </c>
      <c r="AL6" s="349">
        <f>AK6*1.05</f>
        <v/>
      </c>
      <c r="AM6" s="349">
        <f>AL6</f>
        <v/>
      </c>
      <c r="AN6" s="349">
        <f>AM6</f>
        <v/>
      </c>
      <c r="AO6" s="349">
        <f>AN6</f>
        <v/>
      </c>
      <c r="AP6" s="349">
        <f>AO6</f>
        <v/>
      </c>
      <c r="AQ6" s="349">
        <f>AP6</f>
        <v/>
      </c>
      <c r="AR6" s="349">
        <f>AQ6</f>
        <v/>
      </c>
      <c r="AS6" s="349">
        <f>AR6</f>
        <v/>
      </c>
      <c r="AT6" s="349">
        <f>AS6</f>
        <v/>
      </c>
      <c r="AU6" s="349">
        <f>AT6</f>
        <v/>
      </c>
      <c r="AV6" s="349">
        <f>AU6</f>
        <v/>
      </c>
      <c r="AW6" s="349">
        <f>AV6</f>
        <v/>
      </c>
      <c r="AX6" s="349" t="n"/>
      <c r="AY6" s="349" t="n"/>
      <c r="AZ6" s="349" t="n"/>
      <c r="BA6" s="349" t="n"/>
      <c r="BB6" s="349" t="n"/>
      <c r="BC6" s="349" t="n"/>
      <c r="BD6" s="349" t="n"/>
      <c r="BE6" s="349" t="n"/>
      <c r="BF6" s="349" t="n"/>
      <c r="BG6" s="349" t="n"/>
      <c r="BH6" s="350">
        <f>SUM(E6:BG6)</f>
        <v/>
      </c>
    </row>
    <row r="7" ht="13.9" customFormat="1" customHeight="1" s="54">
      <c r="A7" s="48">
        <f>A6+1</f>
        <v/>
      </c>
      <c r="B7" s="277" t="inlineStr">
        <is>
          <t>Ana Luiza Shimomura Spinelli</t>
        </is>
      </c>
      <c r="C7" s="257" t="n"/>
      <c r="D7" s="255" t="n"/>
      <c r="E7" s="349" t="n">
        <v>13208</v>
      </c>
      <c r="F7" s="349" t="n">
        <v>13208</v>
      </c>
      <c r="G7" s="349" t="n">
        <v>13208</v>
      </c>
      <c r="H7" s="349" t="n">
        <v>13208</v>
      </c>
      <c r="I7" s="349" t="n">
        <v>13208</v>
      </c>
      <c r="J7" s="349" t="n">
        <v>13208</v>
      </c>
      <c r="K7" s="349" t="n">
        <v>13208</v>
      </c>
      <c r="L7" s="349" t="n">
        <v>13208</v>
      </c>
      <c r="M7" s="349" t="n">
        <v>13208</v>
      </c>
      <c r="N7" s="349">
        <f>M7*1.05</f>
        <v/>
      </c>
      <c r="O7" s="349">
        <f>N7</f>
        <v/>
      </c>
      <c r="P7" s="349">
        <f>O7</f>
        <v/>
      </c>
      <c r="Q7" s="349">
        <f>P7</f>
        <v/>
      </c>
      <c r="R7" s="349">
        <f>Q7</f>
        <v/>
      </c>
      <c r="S7" s="349">
        <f>R7</f>
        <v/>
      </c>
      <c r="T7" s="349">
        <f>S7</f>
        <v/>
      </c>
      <c r="U7" s="349">
        <f>T7</f>
        <v/>
      </c>
      <c r="V7" s="349">
        <f>U7</f>
        <v/>
      </c>
      <c r="W7" s="349">
        <f>V7</f>
        <v/>
      </c>
      <c r="X7" s="349">
        <f>W7</f>
        <v/>
      </c>
      <c r="Y7" s="349">
        <f>X7</f>
        <v/>
      </c>
      <c r="Z7" s="349">
        <f>Y7*1.05</f>
        <v/>
      </c>
      <c r="AA7" s="349">
        <f>Z7</f>
        <v/>
      </c>
      <c r="AB7" s="349">
        <f>AA7</f>
        <v/>
      </c>
      <c r="AC7" s="349">
        <f>AB7</f>
        <v/>
      </c>
      <c r="AD7" s="349">
        <f>AC7</f>
        <v/>
      </c>
      <c r="AE7" s="349">
        <f>AD7</f>
        <v/>
      </c>
      <c r="AF7" s="349">
        <f>AE7</f>
        <v/>
      </c>
      <c r="AG7" s="349">
        <f>AF7</f>
        <v/>
      </c>
      <c r="AH7" s="349">
        <f>AG7</f>
        <v/>
      </c>
      <c r="AI7" s="349">
        <f>AH7</f>
        <v/>
      </c>
      <c r="AJ7" s="349">
        <f>AI7</f>
        <v/>
      </c>
      <c r="AK7" s="349">
        <f>AJ7</f>
        <v/>
      </c>
      <c r="AL7" s="349" t="n"/>
      <c r="AM7" s="349" t="n"/>
      <c r="AN7" s="349" t="n"/>
      <c r="AO7" s="349" t="n"/>
      <c r="AP7" s="349" t="n"/>
      <c r="AQ7" s="349" t="n"/>
      <c r="AR7" s="349" t="n"/>
      <c r="AS7" s="349" t="n"/>
      <c r="AT7" s="349" t="n"/>
      <c r="AU7" s="349" t="n"/>
      <c r="AV7" s="349" t="n"/>
      <c r="AW7" s="349" t="n"/>
      <c r="AX7" s="349" t="n"/>
      <c r="AY7" s="349" t="n"/>
      <c r="AZ7" s="349" t="n"/>
      <c r="BA7" s="349" t="n"/>
      <c r="BB7" s="349" t="n"/>
      <c r="BC7" s="349" t="n"/>
      <c r="BD7" s="349" t="n"/>
      <c r="BE7" s="349" t="n"/>
      <c r="BF7" s="349" t="n"/>
      <c r="BG7" s="349" t="n"/>
      <c r="BH7" s="350">
        <f>SUM(E7:BG7)</f>
        <v/>
      </c>
    </row>
    <row r="8" ht="13.9" customFormat="1" customHeight="1" s="54">
      <c r="A8" s="48">
        <f>A7+1</f>
        <v/>
      </c>
      <c r="B8" s="277" t="inlineStr">
        <is>
          <t>André Castellani Lopes</t>
        </is>
      </c>
      <c r="C8" s="257" t="n"/>
      <c r="D8" s="255" t="n"/>
      <c r="E8" s="349" t="n">
        <v>6165</v>
      </c>
      <c r="F8" s="349" t="n">
        <v>6165</v>
      </c>
      <c r="G8" s="349" t="n">
        <v>6165</v>
      </c>
      <c r="H8" s="349" t="n">
        <v>6165</v>
      </c>
      <c r="I8" s="349" t="n">
        <v>6165</v>
      </c>
      <c r="J8" s="349" t="n">
        <v>6165</v>
      </c>
      <c r="K8" s="349" t="n">
        <v>6165</v>
      </c>
      <c r="L8" s="349" t="n">
        <v>6165</v>
      </c>
      <c r="M8" s="349" t="n">
        <v>6165</v>
      </c>
      <c r="N8" s="349">
        <f>M8*1.05</f>
        <v/>
      </c>
      <c r="O8" s="349">
        <f>N8</f>
        <v/>
      </c>
      <c r="P8" s="349">
        <f>O8</f>
        <v/>
      </c>
      <c r="Q8" s="349">
        <f>P8</f>
        <v/>
      </c>
      <c r="R8" s="349">
        <f>Q8</f>
        <v/>
      </c>
      <c r="S8" s="349">
        <f>R8</f>
        <v/>
      </c>
      <c r="T8" s="349">
        <f>S8</f>
        <v/>
      </c>
      <c r="U8" s="349">
        <f>T8</f>
        <v/>
      </c>
      <c r="V8" s="349">
        <f>U8</f>
        <v/>
      </c>
      <c r="W8" s="349">
        <f>V8</f>
        <v/>
      </c>
      <c r="X8" s="349">
        <f>W8</f>
        <v/>
      </c>
      <c r="Y8" s="349">
        <f>X8</f>
        <v/>
      </c>
      <c r="Z8" s="349">
        <f>Y8*1.05</f>
        <v/>
      </c>
      <c r="AA8" s="349">
        <f>Z8</f>
        <v/>
      </c>
      <c r="AB8" s="349">
        <f>AA8</f>
        <v/>
      </c>
      <c r="AC8" s="349">
        <f>AB8</f>
        <v/>
      </c>
      <c r="AD8" s="349">
        <f>AC8</f>
        <v/>
      </c>
      <c r="AE8" s="349">
        <f>AD8</f>
        <v/>
      </c>
      <c r="AF8" s="349">
        <f>AE8</f>
        <v/>
      </c>
      <c r="AG8" s="349">
        <f>AF8</f>
        <v/>
      </c>
      <c r="AH8" s="349">
        <f>AG8</f>
        <v/>
      </c>
      <c r="AI8" s="349">
        <f>AH8</f>
        <v/>
      </c>
      <c r="AJ8" s="349">
        <f>AI8</f>
        <v/>
      </c>
      <c r="AK8" s="349">
        <f>AJ8</f>
        <v/>
      </c>
      <c r="AL8" s="349">
        <f>AK8*1.05</f>
        <v/>
      </c>
      <c r="AM8" s="349">
        <f>AL8</f>
        <v/>
      </c>
      <c r="AN8" s="349">
        <f>AM8</f>
        <v/>
      </c>
      <c r="AO8" s="349">
        <f>AN8</f>
        <v/>
      </c>
      <c r="AP8" s="349">
        <f>AO8</f>
        <v/>
      </c>
      <c r="AQ8" s="349">
        <f>AP8</f>
        <v/>
      </c>
      <c r="AR8" s="349">
        <f>AQ8</f>
        <v/>
      </c>
      <c r="AS8" s="349">
        <f>AR8</f>
        <v/>
      </c>
      <c r="AT8" s="349">
        <f>AS8</f>
        <v/>
      </c>
      <c r="AU8" s="349">
        <f>AT8</f>
        <v/>
      </c>
      <c r="AV8" s="349">
        <f>AU8</f>
        <v/>
      </c>
      <c r="AW8" s="349">
        <f>AV8</f>
        <v/>
      </c>
      <c r="AX8" s="349" t="n"/>
      <c r="AY8" s="349" t="n"/>
      <c r="AZ8" s="349" t="n"/>
      <c r="BA8" s="349" t="n"/>
      <c r="BB8" s="349" t="n"/>
      <c r="BC8" s="349" t="n"/>
      <c r="BD8" s="349" t="n"/>
      <c r="BE8" s="349" t="n"/>
      <c r="BF8" s="349" t="n"/>
      <c r="BG8" s="349" t="n"/>
      <c r="BH8" s="350">
        <f>SUM(E8:BG8)</f>
        <v/>
      </c>
    </row>
    <row r="9" ht="13.9" customFormat="1" customHeight="1" s="54">
      <c r="A9" s="48">
        <f>A8+1</f>
        <v/>
      </c>
      <c r="B9" s="277" t="inlineStr">
        <is>
          <t>André Ricardo Hadlich</t>
        </is>
      </c>
      <c r="C9" s="257" t="n"/>
      <c r="D9" s="255" t="n"/>
      <c r="E9" s="349">
        <f>(16009.77+2881.76)*0.4653</f>
        <v/>
      </c>
      <c r="F9" s="349">
        <f>(16009.77+2881.76)*0.4653</f>
        <v/>
      </c>
      <c r="G9" s="349">
        <f>(16009.77+2881.76)*0.4653</f>
        <v/>
      </c>
      <c r="H9" s="349">
        <f>(16009.77+2881.76)*0.4653</f>
        <v/>
      </c>
      <c r="I9" s="349">
        <f>(16009.77+2881.76)*0.4653</f>
        <v/>
      </c>
      <c r="J9" s="349">
        <f>(16009.77+2881.76)*0.4653</f>
        <v/>
      </c>
      <c r="K9" s="349">
        <f>(16009.77+2881.76)*0.4653</f>
        <v/>
      </c>
      <c r="L9" s="349">
        <f>(16009.77+2881.76)*0.4653</f>
        <v/>
      </c>
      <c r="M9" s="349">
        <f>(16009.77+2881.76)*0.4653</f>
        <v/>
      </c>
      <c r="N9" s="349" t="n"/>
      <c r="O9" s="349" t="n"/>
      <c r="P9" s="349" t="n"/>
      <c r="Q9" s="349" t="n"/>
      <c r="R9" s="349" t="n"/>
      <c r="S9" s="349" t="n"/>
      <c r="T9" s="349" t="n"/>
      <c r="U9" s="349" t="n"/>
      <c r="V9" s="349" t="n"/>
      <c r="W9" s="349" t="n"/>
      <c r="X9" s="349" t="n"/>
      <c r="Y9" s="349" t="n"/>
      <c r="Z9" s="349" t="n"/>
      <c r="AA9" s="349" t="n"/>
      <c r="AB9" s="349" t="n"/>
      <c r="AC9" s="349" t="n"/>
      <c r="AD9" s="349" t="n"/>
      <c r="AE9" s="349" t="n"/>
      <c r="AF9" s="349" t="n"/>
      <c r="AG9" s="349" t="n"/>
      <c r="AH9" s="349" t="n"/>
      <c r="AI9" s="349" t="n"/>
      <c r="AJ9" s="349" t="n"/>
      <c r="AK9" s="349" t="n"/>
      <c r="AL9" s="349" t="n"/>
      <c r="AM9" s="349" t="n"/>
      <c r="AN9" s="349" t="n"/>
      <c r="AO9" s="349" t="n"/>
      <c r="AP9" s="349" t="n"/>
      <c r="AQ9" s="349" t="n"/>
      <c r="AR9" s="349" t="n"/>
      <c r="AS9" s="349" t="n"/>
      <c r="AT9" s="349" t="n"/>
      <c r="AU9" s="349" t="n"/>
      <c r="AV9" s="349" t="n"/>
      <c r="AW9" s="349" t="n"/>
      <c r="AX9" s="349" t="n"/>
      <c r="AY9" s="349" t="n"/>
      <c r="AZ9" s="349" t="n"/>
      <c r="BA9" s="349" t="n"/>
      <c r="BB9" s="349" t="n"/>
      <c r="BC9" s="349" t="n"/>
      <c r="BD9" s="349" t="n"/>
      <c r="BE9" s="349" t="n"/>
      <c r="BF9" s="349" t="n"/>
      <c r="BG9" s="349" t="n"/>
      <c r="BH9" s="350">
        <f>SUM(E9:BG9)</f>
        <v/>
      </c>
    </row>
    <row r="10" ht="13.9" customFormat="1" customHeight="1" s="54">
      <c r="A10" s="48">
        <f>A9+1</f>
        <v/>
      </c>
      <c r="B10" s="277" t="inlineStr">
        <is>
          <t>Antonio Venicius dos Santos</t>
        </is>
      </c>
      <c r="C10" s="257" t="n"/>
      <c r="D10" s="255" t="n"/>
      <c r="E10" s="349">
        <f>14980+1797.6</f>
        <v/>
      </c>
      <c r="F10" s="349">
        <f>14980+1797.6</f>
        <v/>
      </c>
      <c r="G10" s="349">
        <f>14980+1797.6</f>
        <v/>
      </c>
      <c r="H10" s="349">
        <f>14980+1797.6</f>
        <v/>
      </c>
      <c r="I10" s="349">
        <f>14980+1797.6</f>
        <v/>
      </c>
      <c r="J10" s="349">
        <f>14980+1797.6</f>
        <v/>
      </c>
      <c r="K10" s="349">
        <f>14980+1797.6</f>
        <v/>
      </c>
      <c r="L10" s="349">
        <f>14980+1797.6</f>
        <v/>
      </c>
      <c r="M10" s="349">
        <f>14980+1797.6</f>
        <v/>
      </c>
      <c r="N10" s="349" t="n"/>
      <c r="O10" s="349" t="n"/>
      <c r="P10" s="349" t="n"/>
      <c r="Q10" s="349" t="n"/>
      <c r="R10" s="349" t="n"/>
      <c r="S10" s="349" t="n"/>
      <c r="T10" s="349" t="n"/>
      <c r="U10" s="349" t="n"/>
      <c r="V10" s="349" t="n"/>
      <c r="W10" s="349" t="n"/>
      <c r="X10" s="349" t="n"/>
      <c r="Y10" s="349" t="n"/>
      <c r="Z10" s="349" t="n"/>
      <c r="AA10" s="349" t="n"/>
      <c r="AB10" s="349" t="n"/>
      <c r="AC10" s="349" t="n"/>
      <c r="AD10" s="349" t="n"/>
      <c r="AE10" s="349" t="n"/>
      <c r="AF10" s="349" t="n"/>
      <c r="AG10" s="349" t="n"/>
      <c r="AH10" s="349" t="n"/>
      <c r="AI10" s="349" t="n"/>
      <c r="AJ10" s="349" t="n"/>
      <c r="AK10" s="349" t="n"/>
      <c r="AL10" s="349" t="n"/>
      <c r="AM10" s="349" t="n"/>
      <c r="AN10" s="349" t="n"/>
      <c r="AO10" s="349" t="n"/>
      <c r="AP10" s="349" t="n"/>
      <c r="AQ10" s="349" t="n"/>
      <c r="AR10" s="349" t="n"/>
      <c r="AS10" s="349" t="n"/>
      <c r="AT10" s="349" t="n"/>
      <c r="AU10" s="349" t="n"/>
      <c r="AV10" s="349" t="n"/>
      <c r="AW10" s="349" t="n"/>
      <c r="AX10" s="349" t="n"/>
      <c r="AY10" s="349" t="n"/>
      <c r="AZ10" s="349" t="n"/>
      <c r="BA10" s="349" t="n"/>
      <c r="BB10" s="349" t="n"/>
      <c r="BC10" s="349" t="n"/>
      <c r="BD10" s="349" t="n"/>
      <c r="BE10" s="349" t="n"/>
      <c r="BF10" s="349" t="n"/>
      <c r="BG10" s="349" t="n"/>
      <c r="BH10" s="350">
        <f>SUM(E10:BG10)</f>
        <v/>
      </c>
    </row>
    <row r="11" ht="13.9" customFormat="1" customHeight="1" s="54">
      <c r="A11" s="48">
        <f>A10+1</f>
        <v/>
      </c>
      <c r="B11" s="277" t="inlineStr">
        <is>
          <t>Arthur de Matos Castro e Silva</t>
        </is>
      </c>
      <c r="C11" s="257" t="n"/>
      <c r="D11" s="255" t="n"/>
      <c r="E11" s="349" t="n">
        <v>5739.8</v>
      </c>
      <c r="F11" s="349" t="n">
        <v>5739.8</v>
      </c>
      <c r="G11" s="349" t="n">
        <v>5739.8</v>
      </c>
      <c r="H11" s="349" t="n">
        <v>5739.8</v>
      </c>
      <c r="I11" s="349" t="n">
        <v>5739.8</v>
      </c>
      <c r="J11" s="349" t="n">
        <v>5739.8</v>
      </c>
      <c r="K11" s="349" t="n">
        <v>5739.8</v>
      </c>
      <c r="L11" s="349" t="n">
        <v>5739.8</v>
      </c>
      <c r="M11" s="349" t="n">
        <v>5739.8</v>
      </c>
      <c r="N11" s="349">
        <f>M11*1.05</f>
        <v/>
      </c>
      <c r="O11" s="349">
        <f>N11</f>
        <v/>
      </c>
      <c r="P11" s="349">
        <f>O11</f>
        <v/>
      </c>
      <c r="Q11" s="349">
        <f>P11</f>
        <v/>
      </c>
      <c r="R11" s="349">
        <f>Q11</f>
        <v/>
      </c>
      <c r="S11" s="349">
        <f>R11</f>
        <v/>
      </c>
      <c r="T11" s="349">
        <f>S11</f>
        <v/>
      </c>
      <c r="U11" s="349">
        <f>T11</f>
        <v/>
      </c>
      <c r="V11" s="349">
        <f>U11</f>
        <v/>
      </c>
      <c r="W11" s="349">
        <f>V11</f>
        <v/>
      </c>
      <c r="X11" s="349">
        <f>W11</f>
        <v/>
      </c>
      <c r="Y11" s="349">
        <f>X11</f>
        <v/>
      </c>
      <c r="Z11" s="349">
        <f>Y11*1.05</f>
        <v/>
      </c>
      <c r="AA11" s="349">
        <f>Z11</f>
        <v/>
      </c>
      <c r="AB11" s="349">
        <f>AA11</f>
        <v/>
      </c>
      <c r="AC11" s="349">
        <f>AB11</f>
        <v/>
      </c>
      <c r="AD11" s="349">
        <f>AC11</f>
        <v/>
      </c>
      <c r="AE11" s="349">
        <f>AD11</f>
        <v/>
      </c>
      <c r="AF11" s="349">
        <f>AE11</f>
        <v/>
      </c>
      <c r="AG11" s="349">
        <f>AF11</f>
        <v/>
      </c>
      <c r="AH11" s="349">
        <f>AG11</f>
        <v/>
      </c>
      <c r="AI11" s="349">
        <f>AH11</f>
        <v/>
      </c>
      <c r="AJ11" s="349">
        <f>AI11</f>
        <v/>
      </c>
      <c r="AK11" s="349">
        <f>AJ11</f>
        <v/>
      </c>
      <c r="AL11" s="349">
        <f>AK11*1.05</f>
        <v/>
      </c>
      <c r="AM11" s="349">
        <f>AL11</f>
        <v/>
      </c>
      <c r="AN11" s="349">
        <f>AM11</f>
        <v/>
      </c>
      <c r="AO11" s="349">
        <f>AN11</f>
        <v/>
      </c>
      <c r="AP11" s="349">
        <f>AO11</f>
        <v/>
      </c>
      <c r="AQ11" s="349">
        <f>AP11</f>
        <v/>
      </c>
      <c r="AR11" s="349">
        <f>AQ11</f>
        <v/>
      </c>
      <c r="AS11" s="349">
        <f>AR11</f>
        <v/>
      </c>
      <c r="AT11" s="349">
        <f>AS11</f>
        <v/>
      </c>
      <c r="AU11" s="349">
        <f>AT11</f>
        <v/>
      </c>
      <c r="AV11" s="349">
        <f>AU11</f>
        <v/>
      </c>
      <c r="AW11" s="349">
        <f>AV11</f>
        <v/>
      </c>
      <c r="AX11" s="349" t="n"/>
      <c r="AY11" s="349" t="n"/>
      <c r="AZ11" s="349" t="n"/>
      <c r="BA11" s="349" t="n"/>
      <c r="BB11" s="349" t="n"/>
      <c r="BC11" s="349" t="n"/>
      <c r="BD11" s="349" t="n"/>
      <c r="BE11" s="349" t="n"/>
      <c r="BF11" s="349" t="n"/>
      <c r="BG11" s="349" t="n"/>
      <c r="BH11" s="350">
        <f>SUM(E11:BG11)</f>
        <v/>
      </c>
    </row>
    <row r="12" ht="13.9" customFormat="1" customHeight="1" s="54">
      <c r="A12" s="48">
        <f>A11+1</f>
        <v/>
      </c>
      <c r="B12" s="277" t="inlineStr">
        <is>
          <t>Assis Arantes Junior</t>
        </is>
      </c>
      <c r="C12" s="257" t="n"/>
      <c r="D12" s="255" t="n"/>
      <c r="E12" s="349">
        <f>19102.95+1146.18</f>
        <v/>
      </c>
      <c r="F12" s="349">
        <f>19102.95+1146.18</f>
        <v/>
      </c>
      <c r="G12" s="349">
        <f>19102.95+1146.18</f>
        <v/>
      </c>
      <c r="H12" s="349">
        <f>19102.95+1146.18</f>
        <v/>
      </c>
      <c r="I12" s="349">
        <f>19102.95+1146.18</f>
        <v/>
      </c>
      <c r="J12" s="349">
        <f>19102.95+1146.18</f>
        <v/>
      </c>
      <c r="K12" s="349">
        <f>19102.95+1146.18</f>
        <v/>
      </c>
      <c r="L12" s="349">
        <f>19102.95+1146.18</f>
        <v/>
      </c>
      <c r="M12" s="349">
        <f>19102.95+1146.18</f>
        <v/>
      </c>
      <c r="N12" s="349">
        <f>M12*1.05</f>
        <v/>
      </c>
      <c r="O12" s="349">
        <f>N12</f>
        <v/>
      </c>
      <c r="P12" s="349">
        <f>O12</f>
        <v/>
      </c>
      <c r="Q12" s="349">
        <f>P12</f>
        <v/>
      </c>
      <c r="R12" s="349">
        <f>Q12</f>
        <v/>
      </c>
      <c r="S12" s="349">
        <f>R12</f>
        <v/>
      </c>
      <c r="T12" s="349">
        <f>S12</f>
        <v/>
      </c>
      <c r="U12" s="349">
        <f>T12</f>
        <v/>
      </c>
      <c r="V12" s="349">
        <f>U12</f>
        <v/>
      </c>
      <c r="W12" s="349">
        <f>V12</f>
        <v/>
      </c>
      <c r="X12" s="349">
        <f>W12</f>
        <v/>
      </c>
      <c r="Y12" s="349">
        <f>X12</f>
        <v/>
      </c>
      <c r="Z12" s="349">
        <f>Y12*1.05</f>
        <v/>
      </c>
      <c r="AA12" s="349">
        <f>Z12</f>
        <v/>
      </c>
      <c r="AB12" s="349">
        <f>AA12</f>
        <v/>
      </c>
      <c r="AC12" s="349">
        <f>AB12</f>
        <v/>
      </c>
      <c r="AD12" s="349">
        <f>AC12</f>
        <v/>
      </c>
      <c r="AE12" s="349">
        <f>AD12</f>
        <v/>
      </c>
      <c r="AF12" s="349">
        <f>AE12</f>
        <v/>
      </c>
      <c r="AG12" s="349">
        <f>AF12</f>
        <v/>
      </c>
      <c r="AH12" s="349">
        <f>AG12</f>
        <v/>
      </c>
      <c r="AI12" s="349">
        <f>AH12</f>
        <v/>
      </c>
      <c r="AJ12" s="349">
        <f>AI12</f>
        <v/>
      </c>
      <c r="AK12" s="349">
        <f>AJ12</f>
        <v/>
      </c>
      <c r="AL12" s="349" t="n"/>
      <c r="AM12" s="349" t="n"/>
      <c r="AN12" s="349" t="n"/>
      <c r="AO12" s="349" t="n"/>
      <c r="AP12" s="349" t="n"/>
      <c r="AQ12" s="349" t="n"/>
      <c r="AR12" s="349" t="n"/>
      <c r="AS12" s="349" t="n"/>
      <c r="AT12" s="349" t="n"/>
      <c r="AU12" s="349" t="n"/>
      <c r="AV12" s="349" t="n"/>
      <c r="AW12" s="349" t="n"/>
      <c r="AX12" s="349" t="n"/>
      <c r="AY12" s="349" t="n"/>
      <c r="AZ12" s="349" t="n"/>
      <c r="BA12" s="349" t="n"/>
      <c r="BB12" s="349" t="n"/>
      <c r="BC12" s="349" t="n"/>
      <c r="BD12" s="349" t="n"/>
      <c r="BE12" s="349" t="n"/>
      <c r="BF12" s="349" t="n"/>
      <c r="BG12" s="349" t="n"/>
      <c r="BH12" s="350">
        <f>SUM(E12:BG12)</f>
        <v/>
      </c>
    </row>
    <row r="13" ht="13.9" customFormat="1" customHeight="1" s="54">
      <c r="A13" s="48">
        <f>A12+1</f>
        <v/>
      </c>
      <c r="B13" s="277" t="inlineStr">
        <is>
          <t>Augusto Simioni de Lima</t>
        </is>
      </c>
      <c r="C13" s="257" t="n"/>
      <c r="D13" s="255" t="n"/>
      <c r="E13" s="349" t="n">
        <v>11709.19</v>
      </c>
      <c r="F13" s="349" t="n">
        <v>11709.19</v>
      </c>
      <c r="G13" s="349" t="n">
        <v>11709.19</v>
      </c>
      <c r="H13" s="349" t="n">
        <v>11709.19</v>
      </c>
      <c r="I13" s="349" t="n">
        <v>11709.19</v>
      </c>
      <c r="J13" s="349" t="n">
        <v>11709.19</v>
      </c>
      <c r="K13" s="349" t="n">
        <v>11709.19</v>
      </c>
      <c r="L13" s="349" t="n">
        <v>11709.19</v>
      </c>
      <c r="M13" s="349" t="n">
        <v>11709.19</v>
      </c>
      <c r="N13" s="349">
        <f>M13*1.05</f>
        <v/>
      </c>
      <c r="O13" s="349">
        <f>N13</f>
        <v/>
      </c>
      <c r="P13" s="349">
        <f>O13</f>
        <v/>
      </c>
      <c r="Q13" s="349">
        <f>P13</f>
        <v/>
      </c>
      <c r="R13" s="349">
        <f>Q13</f>
        <v/>
      </c>
      <c r="S13" s="349">
        <f>R13</f>
        <v/>
      </c>
      <c r="T13" s="349">
        <f>S13</f>
        <v/>
      </c>
      <c r="U13" s="349">
        <f>T13</f>
        <v/>
      </c>
      <c r="V13" s="349">
        <f>U13</f>
        <v/>
      </c>
      <c r="W13" s="349">
        <f>V13</f>
        <v/>
      </c>
      <c r="X13" s="349">
        <f>W13</f>
        <v/>
      </c>
      <c r="Y13" s="349">
        <f>X13</f>
        <v/>
      </c>
      <c r="Z13" s="349">
        <f>Y13*1.05</f>
        <v/>
      </c>
      <c r="AA13" s="349">
        <f>Z13</f>
        <v/>
      </c>
      <c r="AB13" s="349">
        <f>AA13</f>
        <v/>
      </c>
      <c r="AC13" s="349">
        <f>AB13</f>
        <v/>
      </c>
      <c r="AD13" s="349">
        <f>AC13</f>
        <v/>
      </c>
      <c r="AE13" s="349">
        <f>AD13</f>
        <v/>
      </c>
      <c r="AF13" s="349">
        <f>AE13</f>
        <v/>
      </c>
      <c r="AG13" s="349">
        <f>AF13</f>
        <v/>
      </c>
      <c r="AH13" s="349">
        <f>AG13</f>
        <v/>
      </c>
      <c r="AI13" s="349">
        <f>AH13</f>
        <v/>
      </c>
      <c r="AJ13" s="349">
        <f>AI13</f>
        <v/>
      </c>
      <c r="AK13" s="349">
        <f>AJ13</f>
        <v/>
      </c>
      <c r="AL13" s="349">
        <f>AK13*1.05</f>
        <v/>
      </c>
      <c r="AM13" s="349">
        <f>AL13</f>
        <v/>
      </c>
      <c r="AN13" s="349">
        <f>AM13</f>
        <v/>
      </c>
      <c r="AO13" s="349">
        <f>AN13</f>
        <v/>
      </c>
      <c r="AP13" s="349">
        <f>AO13</f>
        <v/>
      </c>
      <c r="AQ13" s="349">
        <f>AP13</f>
        <v/>
      </c>
      <c r="AR13" s="349">
        <f>AQ13</f>
        <v/>
      </c>
      <c r="AS13" s="349">
        <f>AR13</f>
        <v/>
      </c>
      <c r="AT13" s="349">
        <f>AS13</f>
        <v/>
      </c>
      <c r="AU13" s="349">
        <f>AT13</f>
        <v/>
      </c>
      <c r="AV13" s="349">
        <f>AU13</f>
        <v/>
      </c>
      <c r="AW13" s="349">
        <f>AV13</f>
        <v/>
      </c>
      <c r="AX13" s="349" t="n"/>
      <c r="AY13" s="349" t="n"/>
      <c r="AZ13" s="349" t="n"/>
      <c r="BA13" s="349" t="n"/>
      <c r="BB13" s="349" t="n"/>
      <c r="BC13" s="349" t="n"/>
      <c r="BD13" s="349" t="n"/>
      <c r="BE13" s="349" t="n"/>
      <c r="BF13" s="349" t="n"/>
      <c r="BG13" s="349" t="n"/>
      <c r="BH13" s="350">
        <f>SUM(E13:BG13)</f>
        <v/>
      </c>
    </row>
    <row r="14" ht="13.9" customFormat="1" customHeight="1" s="54">
      <c r="A14" s="48">
        <f>A13+1</f>
        <v/>
      </c>
      <c r="B14" s="277" t="inlineStr">
        <is>
          <t>Bianca de Cordova Caetani</t>
        </is>
      </c>
      <c r="C14" s="257" t="n"/>
      <c r="D14" s="255" t="n"/>
      <c r="E14" s="349" t="n">
        <v>12279.43</v>
      </c>
      <c r="F14" s="349" t="n">
        <v>12279.43</v>
      </c>
      <c r="G14" s="349" t="n">
        <v>12279.43</v>
      </c>
      <c r="H14" s="349" t="n">
        <v>12279.43</v>
      </c>
      <c r="I14" s="349" t="n">
        <v>12279.43</v>
      </c>
      <c r="J14" s="349" t="n">
        <v>12279.43</v>
      </c>
      <c r="K14" s="349" t="n">
        <v>12279.43</v>
      </c>
      <c r="L14" s="349" t="n">
        <v>12279.43</v>
      </c>
      <c r="M14" s="349" t="n">
        <v>12279.43</v>
      </c>
      <c r="N14" s="349">
        <f>M14*1.05</f>
        <v/>
      </c>
      <c r="O14" s="349">
        <f>N14</f>
        <v/>
      </c>
      <c r="P14" s="349">
        <f>O14</f>
        <v/>
      </c>
      <c r="Q14" s="349">
        <f>P14</f>
        <v/>
      </c>
      <c r="R14" s="349">
        <f>Q14</f>
        <v/>
      </c>
      <c r="S14" s="349">
        <f>R14</f>
        <v/>
      </c>
      <c r="T14" s="349">
        <f>S14</f>
        <v/>
      </c>
      <c r="U14" s="349">
        <f>T14</f>
        <v/>
      </c>
      <c r="V14" s="349">
        <f>U14</f>
        <v/>
      </c>
      <c r="W14" s="349">
        <f>V14</f>
        <v/>
      </c>
      <c r="X14" s="349">
        <f>W14</f>
        <v/>
      </c>
      <c r="Y14" s="349">
        <f>X14</f>
        <v/>
      </c>
      <c r="Z14" s="349">
        <f>Y14*1.05</f>
        <v/>
      </c>
      <c r="AA14" s="349">
        <f>Z14</f>
        <v/>
      </c>
      <c r="AB14" s="349">
        <f>AA14</f>
        <v/>
      </c>
      <c r="AC14" s="349">
        <f>AB14</f>
        <v/>
      </c>
      <c r="AD14" s="349">
        <f>AC14</f>
        <v/>
      </c>
      <c r="AE14" s="349">
        <f>AD14</f>
        <v/>
      </c>
      <c r="AF14" s="349">
        <f>AE14</f>
        <v/>
      </c>
      <c r="AG14" s="349">
        <f>AF14</f>
        <v/>
      </c>
      <c r="AH14" s="349">
        <f>AG14</f>
        <v/>
      </c>
      <c r="AI14" s="349">
        <f>AH14</f>
        <v/>
      </c>
      <c r="AJ14" s="349">
        <f>AI14</f>
        <v/>
      </c>
      <c r="AK14" s="349">
        <f>AJ14</f>
        <v/>
      </c>
      <c r="AL14" s="349" t="n"/>
      <c r="AM14" s="349" t="n"/>
      <c r="AN14" s="349" t="n"/>
      <c r="AO14" s="349" t="n"/>
      <c r="AP14" s="349" t="n"/>
      <c r="AQ14" s="349" t="n"/>
      <c r="AR14" s="349" t="n"/>
      <c r="AS14" s="349" t="n"/>
      <c r="AT14" s="349" t="n"/>
      <c r="AU14" s="349" t="n"/>
      <c r="AV14" s="349" t="n"/>
      <c r="AW14" s="349" t="n"/>
      <c r="AX14" s="349" t="n"/>
      <c r="AY14" s="349" t="n"/>
      <c r="AZ14" s="349" t="n"/>
      <c r="BA14" s="349" t="n"/>
      <c r="BB14" s="349" t="n"/>
      <c r="BC14" s="349" t="n"/>
      <c r="BD14" s="349" t="n"/>
      <c r="BE14" s="349" t="n"/>
      <c r="BF14" s="349" t="n"/>
      <c r="BG14" s="349" t="n"/>
      <c r="BH14" s="350">
        <f>SUM(E14:BG14)</f>
        <v/>
      </c>
    </row>
    <row r="15" ht="13.9" customFormat="1" customHeight="1" s="54">
      <c r="A15" s="48">
        <f>A14+1</f>
        <v/>
      </c>
      <c r="B15" s="277" t="inlineStr">
        <is>
          <t>Bruno Duarte</t>
        </is>
      </c>
      <c r="C15" s="257" t="n"/>
      <c r="D15" s="255" t="n"/>
      <c r="E15" s="349" t="n">
        <v>7827</v>
      </c>
      <c r="F15" s="349" t="n">
        <v>7827</v>
      </c>
      <c r="G15" s="349" t="n">
        <v>7827</v>
      </c>
      <c r="H15" s="349" t="n">
        <v>7827</v>
      </c>
      <c r="I15" s="349" t="n">
        <v>7827</v>
      </c>
      <c r="J15" s="349" t="n">
        <v>7827</v>
      </c>
      <c r="K15" s="349" t="n">
        <v>7827</v>
      </c>
      <c r="L15" s="349" t="n">
        <v>7827</v>
      </c>
      <c r="M15" s="349" t="n">
        <v>7827</v>
      </c>
      <c r="N15" s="349">
        <f>M15*1.05</f>
        <v/>
      </c>
      <c r="O15" s="349">
        <f>N15</f>
        <v/>
      </c>
      <c r="P15" s="349">
        <f>O15</f>
        <v/>
      </c>
      <c r="Q15" s="349">
        <f>P15</f>
        <v/>
      </c>
      <c r="R15" s="349">
        <f>Q15</f>
        <v/>
      </c>
      <c r="S15" s="349">
        <f>R15</f>
        <v/>
      </c>
      <c r="T15" s="349">
        <f>S15</f>
        <v/>
      </c>
      <c r="U15" s="349">
        <f>T15</f>
        <v/>
      </c>
      <c r="V15" s="349">
        <f>U15</f>
        <v/>
      </c>
      <c r="W15" s="349">
        <f>V15</f>
        <v/>
      </c>
      <c r="X15" s="349">
        <f>W15</f>
        <v/>
      </c>
      <c r="Y15" s="349">
        <f>X15</f>
        <v/>
      </c>
      <c r="Z15" s="349">
        <f>Y15*1.05</f>
        <v/>
      </c>
      <c r="AA15" s="349">
        <f>Z15</f>
        <v/>
      </c>
      <c r="AB15" s="349">
        <f>AA15</f>
        <v/>
      </c>
      <c r="AC15" s="349">
        <f>AB15</f>
        <v/>
      </c>
      <c r="AD15" s="349">
        <f>AC15</f>
        <v/>
      </c>
      <c r="AE15" s="349">
        <f>AD15</f>
        <v/>
      </c>
      <c r="AF15" s="349">
        <f>AE15</f>
        <v/>
      </c>
      <c r="AG15" s="349">
        <f>AF15</f>
        <v/>
      </c>
      <c r="AH15" s="349">
        <f>AG15</f>
        <v/>
      </c>
      <c r="AI15" s="349">
        <f>AH15</f>
        <v/>
      </c>
      <c r="AJ15" s="349">
        <f>AI15</f>
        <v/>
      </c>
      <c r="AK15" s="349">
        <f>AJ15</f>
        <v/>
      </c>
      <c r="AL15" s="349">
        <f>AK15*1.05</f>
        <v/>
      </c>
      <c r="AM15" s="349">
        <f>AL15</f>
        <v/>
      </c>
      <c r="AN15" s="349">
        <f>AM15</f>
        <v/>
      </c>
      <c r="AO15" s="349">
        <f>AN15</f>
        <v/>
      </c>
      <c r="AP15" s="349">
        <f>AO15</f>
        <v/>
      </c>
      <c r="AQ15" s="349">
        <f>AP15</f>
        <v/>
      </c>
      <c r="AR15" s="349">
        <f>AQ15</f>
        <v/>
      </c>
      <c r="AS15" s="349">
        <f>AR15</f>
        <v/>
      </c>
      <c r="AT15" s="349">
        <f>AS15</f>
        <v/>
      </c>
      <c r="AU15" s="349">
        <f>AT15</f>
        <v/>
      </c>
      <c r="AV15" s="349">
        <f>AU15</f>
        <v/>
      </c>
      <c r="AW15" s="349">
        <f>AV15</f>
        <v/>
      </c>
      <c r="AX15" s="349" t="n"/>
      <c r="AY15" s="349" t="n"/>
      <c r="AZ15" s="349" t="n"/>
      <c r="BA15" s="349" t="n"/>
      <c r="BB15" s="349" t="n"/>
      <c r="BC15" s="349" t="n"/>
      <c r="BD15" s="349" t="n"/>
      <c r="BE15" s="349" t="n"/>
      <c r="BF15" s="349" t="n"/>
      <c r="BG15" s="349" t="n"/>
      <c r="BH15" s="350">
        <f>SUM(E15:BG15)</f>
        <v/>
      </c>
    </row>
    <row r="16" ht="13.9" customFormat="1" customHeight="1" s="54">
      <c r="A16" s="48">
        <f>A15+1</f>
        <v/>
      </c>
      <c r="B16" s="277" t="inlineStr">
        <is>
          <t>Dorival Faria Quadros</t>
        </is>
      </c>
      <c r="C16" s="257" t="n"/>
      <c r="D16" s="255" t="n"/>
      <c r="E16" s="349">
        <f>20192.54+1817.33</f>
        <v/>
      </c>
      <c r="F16" s="349">
        <f>20192.54+1817.33</f>
        <v/>
      </c>
      <c r="G16" s="349">
        <f>20192.54+1817.33</f>
        <v/>
      </c>
      <c r="H16" s="349">
        <f>20192.54+1817.33</f>
        <v/>
      </c>
      <c r="I16" s="349">
        <f>20192.54+1817.33</f>
        <v/>
      </c>
      <c r="J16" s="349">
        <f>20192.54+1817.33</f>
        <v/>
      </c>
      <c r="K16" s="349">
        <f>20192.54+1817.33</f>
        <v/>
      </c>
      <c r="L16" s="349">
        <f>20192.54+1817.33</f>
        <v/>
      </c>
      <c r="M16" s="349">
        <f>20192.54+1817.33</f>
        <v/>
      </c>
      <c r="N16" s="349">
        <f>M16*1.05</f>
        <v/>
      </c>
      <c r="O16" s="349">
        <f>N16</f>
        <v/>
      </c>
      <c r="P16" s="349">
        <f>O16</f>
        <v/>
      </c>
      <c r="Q16" s="349">
        <f>P16</f>
        <v/>
      </c>
      <c r="R16" s="349">
        <f>Q16</f>
        <v/>
      </c>
      <c r="S16" s="349">
        <f>R16</f>
        <v/>
      </c>
      <c r="T16" s="349">
        <f>S16</f>
        <v/>
      </c>
      <c r="U16" s="349">
        <f>T16</f>
        <v/>
      </c>
      <c r="V16" s="349">
        <f>U16</f>
        <v/>
      </c>
      <c r="W16" s="349">
        <f>V16</f>
        <v/>
      </c>
      <c r="X16" s="349">
        <f>W16</f>
        <v/>
      </c>
      <c r="Y16" s="349">
        <f>X16</f>
        <v/>
      </c>
      <c r="Z16" s="349">
        <f>Y16*1.05</f>
        <v/>
      </c>
      <c r="AA16" s="349">
        <f>Z16</f>
        <v/>
      </c>
      <c r="AB16" s="349">
        <f>AA16</f>
        <v/>
      </c>
      <c r="AC16" s="349">
        <f>AB16</f>
        <v/>
      </c>
      <c r="AD16" s="349">
        <f>AC16</f>
        <v/>
      </c>
      <c r="AE16" s="349">
        <f>AD16</f>
        <v/>
      </c>
      <c r="AF16" s="349">
        <f>AE16</f>
        <v/>
      </c>
      <c r="AG16" s="349">
        <f>AF16</f>
        <v/>
      </c>
      <c r="AH16" s="349">
        <f>AG16</f>
        <v/>
      </c>
      <c r="AI16" s="349">
        <f>AH16</f>
        <v/>
      </c>
      <c r="AJ16" s="349">
        <f>AI16</f>
        <v/>
      </c>
      <c r="AK16" s="349">
        <f>AJ16</f>
        <v/>
      </c>
      <c r="AL16" s="349" t="n"/>
      <c r="AM16" s="349" t="n"/>
      <c r="AN16" s="349" t="n"/>
      <c r="AO16" s="349" t="n"/>
      <c r="AP16" s="349" t="n"/>
      <c r="AQ16" s="349" t="n"/>
      <c r="AR16" s="349" t="n"/>
      <c r="AS16" s="349" t="n"/>
      <c r="AT16" s="349" t="n"/>
      <c r="AU16" s="349" t="n"/>
      <c r="AV16" s="349" t="n"/>
      <c r="AW16" s="349" t="n"/>
      <c r="AX16" s="349" t="n"/>
      <c r="AY16" s="349" t="n"/>
      <c r="AZ16" s="349" t="n"/>
      <c r="BA16" s="349" t="n"/>
      <c r="BB16" s="349" t="n"/>
      <c r="BC16" s="349" t="n"/>
      <c r="BD16" s="349" t="n"/>
      <c r="BE16" s="349" t="n"/>
      <c r="BF16" s="349" t="n"/>
      <c r="BG16" s="349" t="n"/>
      <c r="BH16" s="350">
        <f>SUM(E16:BG16)</f>
        <v/>
      </c>
    </row>
    <row r="17" ht="13.9" customFormat="1" customHeight="1" s="54">
      <c r="A17" s="48">
        <f>A16+1</f>
        <v/>
      </c>
      <c r="B17" s="277" t="inlineStr">
        <is>
          <t>Edileuza Jose de Souza</t>
        </is>
      </c>
      <c r="C17" s="257" t="n"/>
      <c r="D17" s="255" t="n"/>
      <c r="E17" s="349">
        <f>2071.02+124.26</f>
        <v/>
      </c>
      <c r="F17" s="349">
        <f>2071.02+124.26</f>
        <v/>
      </c>
      <c r="G17" s="349">
        <f>2071.02+124.26</f>
        <v/>
      </c>
      <c r="H17" s="349">
        <f>2071.02+124.26</f>
        <v/>
      </c>
      <c r="I17" s="349">
        <f>2071.02+124.26</f>
        <v/>
      </c>
      <c r="J17" s="349">
        <f>2071.02+124.26</f>
        <v/>
      </c>
      <c r="K17" s="349">
        <f>2071.02+124.26</f>
        <v/>
      </c>
      <c r="L17" s="349">
        <f>2071.02+124.26</f>
        <v/>
      </c>
      <c r="M17" s="349">
        <f>2071.02+124.26</f>
        <v/>
      </c>
      <c r="N17" s="349">
        <f>M17*1.05</f>
        <v/>
      </c>
      <c r="O17" s="349">
        <f>N17</f>
        <v/>
      </c>
      <c r="P17" s="349">
        <f>O17</f>
        <v/>
      </c>
      <c r="Q17" s="349">
        <f>P17</f>
        <v/>
      </c>
      <c r="R17" s="349">
        <f>Q17</f>
        <v/>
      </c>
      <c r="S17" s="349">
        <f>R17</f>
        <v/>
      </c>
      <c r="T17" s="349">
        <f>S17</f>
        <v/>
      </c>
      <c r="U17" s="349">
        <f>T17</f>
        <v/>
      </c>
      <c r="V17" s="349">
        <f>U17</f>
        <v/>
      </c>
      <c r="W17" s="349">
        <f>V17</f>
        <v/>
      </c>
      <c r="X17" s="349">
        <f>W17</f>
        <v/>
      </c>
      <c r="Y17" s="349">
        <f>X17</f>
        <v/>
      </c>
      <c r="Z17" s="349">
        <f>Y17*1.05</f>
        <v/>
      </c>
      <c r="AA17" s="349">
        <f>Z17</f>
        <v/>
      </c>
      <c r="AB17" s="349">
        <f>AA17</f>
        <v/>
      </c>
      <c r="AC17" s="349">
        <f>AB17</f>
        <v/>
      </c>
      <c r="AD17" s="349">
        <f>AC17</f>
        <v/>
      </c>
      <c r="AE17" s="349">
        <f>AD17</f>
        <v/>
      </c>
      <c r="AF17" s="349">
        <f>AE17</f>
        <v/>
      </c>
      <c r="AG17" s="349">
        <f>AF17</f>
        <v/>
      </c>
      <c r="AH17" s="349">
        <f>AG17</f>
        <v/>
      </c>
      <c r="AI17" s="349">
        <f>AH17</f>
        <v/>
      </c>
      <c r="AJ17" s="349">
        <f>AI17</f>
        <v/>
      </c>
      <c r="AK17" s="349">
        <f>AJ17</f>
        <v/>
      </c>
      <c r="AL17" s="349">
        <f>AK17*1.05</f>
        <v/>
      </c>
      <c r="AM17" s="349">
        <f>AL17</f>
        <v/>
      </c>
      <c r="AN17" s="349">
        <f>AM17</f>
        <v/>
      </c>
      <c r="AO17" s="349">
        <f>AN17</f>
        <v/>
      </c>
      <c r="AP17" s="349">
        <f>AO17</f>
        <v/>
      </c>
      <c r="AQ17" s="349">
        <f>AP17</f>
        <v/>
      </c>
      <c r="AR17" s="349">
        <f>AQ17</f>
        <v/>
      </c>
      <c r="AS17" s="349">
        <f>AR17</f>
        <v/>
      </c>
      <c r="AT17" s="349">
        <f>AS17</f>
        <v/>
      </c>
      <c r="AU17" s="349">
        <f>AT17</f>
        <v/>
      </c>
      <c r="AV17" s="349">
        <f>AU17</f>
        <v/>
      </c>
      <c r="AW17" s="349">
        <f>AV17</f>
        <v/>
      </c>
      <c r="AX17" s="349" t="n"/>
      <c r="AY17" s="349" t="n"/>
      <c r="AZ17" s="349" t="n"/>
      <c r="BA17" s="349" t="n"/>
      <c r="BB17" s="349" t="n"/>
      <c r="BC17" s="349" t="n"/>
      <c r="BD17" s="349" t="n"/>
      <c r="BE17" s="349" t="n"/>
      <c r="BF17" s="349" t="n"/>
      <c r="BG17" s="349" t="n"/>
      <c r="BH17" s="350">
        <f>SUM(E17:BG17)</f>
        <v/>
      </c>
    </row>
    <row r="18" ht="13.9" customFormat="1" customHeight="1" s="54">
      <c r="A18" s="48">
        <f>A17+1</f>
        <v/>
      </c>
      <c r="B18" s="277" t="inlineStr">
        <is>
          <t>Eduardo Francisco Fernandes</t>
        </is>
      </c>
      <c r="C18" s="257" t="n"/>
      <c r="D18" s="255" t="n"/>
      <c r="E18" s="349">
        <f>13248.91+1589.87</f>
        <v/>
      </c>
      <c r="F18" s="349">
        <f>13248.91+1589.87</f>
        <v/>
      </c>
      <c r="G18" s="349">
        <f>13248.91+1589.87</f>
        <v/>
      </c>
      <c r="H18" s="349">
        <f>13248.91+1589.87</f>
        <v/>
      </c>
      <c r="I18" s="349">
        <f>13248.91+1589.87</f>
        <v/>
      </c>
      <c r="J18" s="349">
        <f>13248.91+1589.87</f>
        <v/>
      </c>
      <c r="K18" s="349">
        <f>13248.91+1589.87</f>
        <v/>
      </c>
      <c r="L18" s="349">
        <f>13248.91+1589.87</f>
        <v/>
      </c>
      <c r="M18" s="349">
        <f>13248.91+1589.87</f>
        <v/>
      </c>
      <c r="N18" s="349" t="n"/>
      <c r="O18" s="349" t="n"/>
      <c r="P18" s="349" t="n"/>
      <c r="Q18" s="349" t="n"/>
      <c r="R18" s="349" t="n"/>
      <c r="S18" s="349" t="n"/>
      <c r="T18" s="349" t="n"/>
      <c r="U18" s="349" t="n"/>
      <c r="V18" s="349" t="n"/>
      <c r="W18" s="349" t="n"/>
      <c r="X18" s="349" t="n"/>
      <c r="Y18" s="349" t="n"/>
      <c r="Z18" s="349" t="n"/>
      <c r="AA18" s="349" t="n"/>
      <c r="AB18" s="349" t="n"/>
      <c r="AC18" s="349" t="n"/>
      <c r="AD18" s="349" t="n"/>
      <c r="AE18" s="349" t="n"/>
      <c r="AF18" s="349" t="n"/>
      <c r="AG18" s="349" t="n"/>
      <c r="AH18" s="349" t="n"/>
      <c r="AI18" s="349" t="n"/>
      <c r="AJ18" s="349" t="n"/>
      <c r="AK18" s="349" t="n"/>
      <c r="AL18" s="349" t="n"/>
      <c r="AM18" s="349" t="n"/>
      <c r="AN18" s="349" t="n"/>
      <c r="AO18" s="349" t="n"/>
      <c r="AP18" s="349" t="n"/>
      <c r="AQ18" s="349" t="n"/>
      <c r="AR18" s="349" t="n"/>
      <c r="AS18" s="349" t="n"/>
      <c r="AT18" s="349" t="n"/>
      <c r="AU18" s="349" t="n"/>
      <c r="AV18" s="349" t="n"/>
      <c r="AW18" s="349" t="n"/>
      <c r="AX18" s="349" t="n"/>
      <c r="AY18" s="349" t="n"/>
      <c r="AZ18" s="349" t="n"/>
      <c r="BA18" s="349" t="n"/>
      <c r="BB18" s="349" t="n"/>
      <c r="BC18" s="349" t="n"/>
      <c r="BD18" s="349" t="n"/>
      <c r="BE18" s="349" t="n"/>
      <c r="BF18" s="349" t="n"/>
      <c r="BG18" s="349" t="n"/>
      <c r="BH18" s="350">
        <f>SUM(E18:BG18)</f>
        <v/>
      </c>
    </row>
    <row r="19" ht="13.9" customFormat="1" customHeight="1" s="54">
      <c r="A19" s="48">
        <f>A18+1</f>
        <v/>
      </c>
      <c r="B19" s="277" t="inlineStr">
        <is>
          <t>Fabiano Giacobo</t>
        </is>
      </c>
      <c r="C19" s="257" t="n"/>
      <c r="D19" s="255" t="n"/>
      <c r="E19" s="349">
        <f>36908.46+4429.02</f>
        <v/>
      </c>
      <c r="F19" s="349">
        <f>36908.46+4429.02</f>
        <v/>
      </c>
      <c r="G19" s="349">
        <f>36908.46+4429.02</f>
        <v/>
      </c>
      <c r="H19" s="349">
        <f>36908.46+4429.02</f>
        <v/>
      </c>
      <c r="I19" s="349">
        <f>36908.46+4429.02</f>
        <v/>
      </c>
      <c r="J19" s="349">
        <f>36908.46+4429.02</f>
        <v/>
      </c>
      <c r="K19" s="349">
        <f>36908.46+4429.02</f>
        <v/>
      </c>
      <c r="L19" s="349">
        <f>36908.46+4429.02</f>
        <v/>
      </c>
      <c r="M19" s="349">
        <f>36908.46+4429.02</f>
        <v/>
      </c>
      <c r="N19" s="349" t="n"/>
      <c r="O19" s="349" t="n"/>
      <c r="P19" s="349" t="n"/>
      <c r="Q19" s="349" t="n"/>
      <c r="R19" s="349" t="n"/>
      <c r="S19" s="349" t="n"/>
      <c r="T19" s="349" t="n"/>
      <c r="U19" s="349" t="n"/>
      <c r="V19" s="349" t="n"/>
      <c r="W19" s="349" t="n"/>
      <c r="X19" s="349" t="n"/>
      <c r="Y19" s="349" t="n"/>
      <c r="Z19" s="349" t="n"/>
      <c r="AA19" s="349" t="n"/>
      <c r="AB19" s="349" t="n"/>
      <c r="AC19" s="349" t="n"/>
      <c r="AD19" s="349" t="n"/>
      <c r="AE19" s="349" t="n"/>
      <c r="AF19" s="349" t="n"/>
      <c r="AG19" s="349" t="n"/>
      <c r="AH19" s="349" t="n"/>
      <c r="AI19" s="349" t="n"/>
      <c r="AJ19" s="349" t="n"/>
      <c r="AK19" s="349" t="n"/>
      <c r="AL19" s="349" t="n"/>
      <c r="AM19" s="349" t="n"/>
      <c r="AN19" s="349" t="n"/>
      <c r="AO19" s="349" t="n"/>
      <c r="AP19" s="349" t="n"/>
      <c r="AQ19" s="349" t="n"/>
      <c r="AR19" s="349" t="n"/>
      <c r="AS19" s="349" t="n"/>
      <c r="AT19" s="349" t="n"/>
      <c r="AU19" s="349" t="n"/>
      <c r="AV19" s="349" t="n"/>
      <c r="AW19" s="349" t="n"/>
      <c r="AX19" s="349" t="n"/>
      <c r="AY19" s="349" t="n"/>
      <c r="AZ19" s="349" t="n"/>
      <c r="BA19" s="349" t="n"/>
      <c r="BB19" s="349" t="n"/>
      <c r="BC19" s="349" t="n"/>
      <c r="BD19" s="349" t="n"/>
      <c r="BE19" s="349" t="n"/>
      <c r="BF19" s="349" t="n"/>
      <c r="BG19" s="349" t="n"/>
      <c r="BH19" s="350">
        <f>SUM(E19:BG19)</f>
        <v/>
      </c>
    </row>
    <row r="20" ht="13.9" customFormat="1" customHeight="1" s="54">
      <c r="A20" s="48">
        <f>A19+1</f>
        <v/>
      </c>
      <c r="B20" s="277" t="inlineStr">
        <is>
          <t>Fernando Borges Weimer</t>
        </is>
      </c>
      <c r="C20" s="257" t="n"/>
      <c r="D20" s="255" t="n"/>
      <c r="E20" s="349" t="n">
        <v>11709.19</v>
      </c>
      <c r="F20" s="349" t="n">
        <v>11709.19</v>
      </c>
      <c r="G20" s="349" t="n">
        <v>11709.19</v>
      </c>
      <c r="H20" s="349" t="n">
        <v>11709.19</v>
      </c>
      <c r="I20" s="349" t="n">
        <v>11709.19</v>
      </c>
      <c r="J20" s="349" t="n">
        <v>11709.19</v>
      </c>
      <c r="K20" s="349" t="n">
        <v>11709.19</v>
      </c>
      <c r="L20" s="349" t="n">
        <v>11709.19</v>
      </c>
      <c r="M20" s="349" t="n">
        <v>11709.19</v>
      </c>
      <c r="N20" s="349" t="n"/>
      <c r="O20" s="349" t="n"/>
      <c r="P20" s="349" t="n"/>
      <c r="Q20" s="349" t="n"/>
      <c r="R20" s="349" t="n"/>
      <c r="S20" s="349" t="n"/>
      <c r="T20" s="349" t="n"/>
      <c r="U20" s="349" t="n"/>
      <c r="V20" s="349" t="n"/>
      <c r="W20" s="349" t="n"/>
      <c r="X20" s="349" t="n"/>
      <c r="Y20" s="349" t="n"/>
      <c r="Z20" s="349" t="n"/>
      <c r="AA20" s="349" t="n"/>
      <c r="AB20" s="349" t="n"/>
      <c r="AC20" s="349" t="n"/>
      <c r="AD20" s="349" t="n"/>
      <c r="AE20" s="349" t="n"/>
      <c r="AF20" s="349" t="n"/>
      <c r="AG20" s="349" t="n"/>
      <c r="AH20" s="349" t="n"/>
      <c r="AI20" s="349" t="n"/>
      <c r="AJ20" s="349" t="n"/>
      <c r="AK20" s="349" t="n"/>
      <c r="AL20" s="349" t="n"/>
      <c r="AM20" s="349" t="n"/>
      <c r="AN20" s="349" t="n"/>
      <c r="AO20" s="349" t="n"/>
      <c r="AP20" s="349" t="n"/>
      <c r="AQ20" s="349" t="n"/>
      <c r="AR20" s="349" t="n"/>
      <c r="AS20" s="349" t="n"/>
      <c r="AT20" s="349" t="n"/>
      <c r="AU20" s="349" t="n"/>
      <c r="AV20" s="349" t="n"/>
      <c r="AW20" s="349" t="n"/>
      <c r="AX20" s="349" t="n"/>
      <c r="AY20" s="349" t="n"/>
      <c r="AZ20" s="349" t="n"/>
      <c r="BA20" s="349" t="n"/>
      <c r="BB20" s="349" t="n"/>
      <c r="BC20" s="349" t="n"/>
      <c r="BD20" s="349" t="n"/>
      <c r="BE20" s="349" t="n"/>
      <c r="BF20" s="349" t="n"/>
      <c r="BG20" s="349" t="n"/>
      <c r="BH20" s="350">
        <f>SUM(E20:BG20)</f>
        <v/>
      </c>
    </row>
    <row r="21" ht="13.9" customFormat="1" customHeight="1" s="54">
      <c r="A21" s="48">
        <f>A20+1</f>
        <v/>
      </c>
      <c r="B21" s="277" t="inlineStr">
        <is>
          <t>Gabriel Gutjhar Stolf</t>
        </is>
      </c>
      <c r="C21" s="257" t="n"/>
      <c r="D21" s="255" t="n"/>
      <c r="E21" s="349" t="n">
        <v>6412</v>
      </c>
      <c r="F21" s="349" t="n">
        <v>6412</v>
      </c>
      <c r="G21" s="349" t="n">
        <v>6412</v>
      </c>
      <c r="H21" s="349" t="n">
        <v>6412</v>
      </c>
      <c r="I21" s="349" t="n">
        <v>6412</v>
      </c>
      <c r="J21" s="349" t="n">
        <v>6412</v>
      </c>
      <c r="K21" s="349" t="n">
        <v>6412</v>
      </c>
      <c r="L21" s="349" t="n">
        <v>6412</v>
      </c>
      <c r="M21" s="349" t="n">
        <v>6412</v>
      </c>
      <c r="N21" s="349">
        <f>M21*1.05</f>
        <v/>
      </c>
      <c r="O21" s="349">
        <f>N21</f>
        <v/>
      </c>
      <c r="P21" s="349">
        <f>O21</f>
        <v/>
      </c>
      <c r="Q21" s="349">
        <f>P21</f>
        <v/>
      </c>
      <c r="R21" s="349">
        <f>Q21</f>
        <v/>
      </c>
      <c r="S21" s="349">
        <f>R21</f>
        <v/>
      </c>
      <c r="T21" s="349">
        <f>S21</f>
        <v/>
      </c>
      <c r="U21" s="349">
        <f>T21</f>
        <v/>
      </c>
      <c r="V21" s="349">
        <f>U21</f>
        <v/>
      </c>
      <c r="W21" s="349">
        <f>V21</f>
        <v/>
      </c>
      <c r="X21" s="349">
        <f>W21</f>
        <v/>
      </c>
      <c r="Y21" s="349">
        <f>X21</f>
        <v/>
      </c>
      <c r="Z21" s="349">
        <f>Y21*1.05</f>
        <v/>
      </c>
      <c r="AA21" s="349">
        <f>Z21</f>
        <v/>
      </c>
      <c r="AB21" s="349">
        <f>AA21</f>
        <v/>
      </c>
      <c r="AC21" s="349">
        <f>AB21</f>
        <v/>
      </c>
      <c r="AD21" s="349">
        <f>AC21</f>
        <v/>
      </c>
      <c r="AE21" s="349">
        <f>AD21</f>
        <v/>
      </c>
      <c r="AF21" s="349">
        <f>AE21</f>
        <v/>
      </c>
      <c r="AG21" s="349">
        <f>AF21</f>
        <v/>
      </c>
      <c r="AH21" s="349">
        <f>AG21</f>
        <v/>
      </c>
      <c r="AI21" s="349">
        <f>AH21</f>
        <v/>
      </c>
      <c r="AJ21" s="349">
        <f>AI21</f>
        <v/>
      </c>
      <c r="AK21" s="349">
        <f>AJ21</f>
        <v/>
      </c>
      <c r="AL21" s="349">
        <f>AK21*1.05</f>
        <v/>
      </c>
      <c r="AM21" s="349">
        <f>AL21</f>
        <v/>
      </c>
      <c r="AN21" s="349">
        <f>AM21</f>
        <v/>
      </c>
      <c r="AO21" s="349">
        <f>AN21</f>
        <v/>
      </c>
      <c r="AP21" s="349">
        <f>AO21</f>
        <v/>
      </c>
      <c r="AQ21" s="349">
        <f>AP21</f>
        <v/>
      </c>
      <c r="AR21" s="349">
        <f>AQ21</f>
        <v/>
      </c>
      <c r="AS21" s="349">
        <f>AR21</f>
        <v/>
      </c>
      <c r="AT21" s="349">
        <f>AS21</f>
        <v/>
      </c>
      <c r="AU21" s="349">
        <f>AT21</f>
        <v/>
      </c>
      <c r="AV21" s="349">
        <f>AU21</f>
        <v/>
      </c>
      <c r="AW21" s="349">
        <f>AV21</f>
        <v/>
      </c>
      <c r="AX21" s="349" t="n"/>
      <c r="AY21" s="349" t="n"/>
      <c r="AZ21" s="349" t="n"/>
      <c r="BA21" s="349" t="n"/>
      <c r="BB21" s="349" t="n"/>
      <c r="BC21" s="349" t="n"/>
      <c r="BD21" s="349" t="n"/>
      <c r="BE21" s="349" t="n"/>
      <c r="BF21" s="349" t="n"/>
      <c r="BG21" s="349" t="n"/>
      <c r="BH21" s="350">
        <f>SUM(E21:BG21)</f>
        <v/>
      </c>
    </row>
    <row r="22" ht="13.9" customFormat="1" customHeight="1" s="54">
      <c r="A22" s="48">
        <f>A21+1</f>
        <v/>
      </c>
      <c r="B22" s="277" t="inlineStr">
        <is>
          <t>Jean Lucas Giuliani Oliveira</t>
        </is>
      </c>
      <c r="C22" s="257" t="n"/>
      <c r="D22" s="255" t="n"/>
      <c r="E22" s="349" t="n">
        <v>13133.08</v>
      </c>
      <c r="F22" s="349" t="n">
        <v>13133.08</v>
      </c>
      <c r="G22" s="349" t="n">
        <v>13133.08</v>
      </c>
      <c r="H22" s="349" t="n">
        <v>13133.08</v>
      </c>
      <c r="I22" s="349" t="n">
        <v>13133.08</v>
      </c>
      <c r="J22" s="349" t="n">
        <v>13133.08</v>
      </c>
      <c r="K22" s="349" t="n">
        <v>13133.08</v>
      </c>
      <c r="L22" s="349" t="n">
        <v>13133.08</v>
      </c>
      <c r="M22" s="349" t="n">
        <v>13133.08</v>
      </c>
      <c r="N22" s="349">
        <f>M22*1.05</f>
        <v/>
      </c>
      <c r="O22" s="349">
        <f>N22</f>
        <v/>
      </c>
      <c r="P22" s="349">
        <f>O22</f>
        <v/>
      </c>
      <c r="Q22" s="349">
        <f>P22</f>
        <v/>
      </c>
      <c r="R22" s="349">
        <f>Q22</f>
        <v/>
      </c>
      <c r="S22" s="349">
        <f>R22</f>
        <v/>
      </c>
      <c r="T22" s="349">
        <f>S22</f>
        <v/>
      </c>
      <c r="U22" s="349">
        <f>T22</f>
        <v/>
      </c>
      <c r="V22" s="349">
        <f>U22</f>
        <v/>
      </c>
      <c r="W22" s="349">
        <f>V22</f>
        <v/>
      </c>
      <c r="X22" s="349">
        <f>W22</f>
        <v/>
      </c>
      <c r="Y22" s="349">
        <f>X22</f>
        <v/>
      </c>
      <c r="Z22" s="349">
        <f>Y22*1.05</f>
        <v/>
      </c>
      <c r="AA22" s="349">
        <f>Z22</f>
        <v/>
      </c>
      <c r="AB22" s="349">
        <f>AA22</f>
        <v/>
      </c>
      <c r="AC22" s="349">
        <f>AB22</f>
        <v/>
      </c>
      <c r="AD22" s="349">
        <f>AC22</f>
        <v/>
      </c>
      <c r="AE22" s="349">
        <f>AD22</f>
        <v/>
      </c>
      <c r="AF22" s="349">
        <f>AE22</f>
        <v/>
      </c>
      <c r="AG22" s="349">
        <f>AF22</f>
        <v/>
      </c>
      <c r="AH22" s="349">
        <f>AG22</f>
        <v/>
      </c>
      <c r="AI22" s="349">
        <f>AH22</f>
        <v/>
      </c>
      <c r="AJ22" s="349">
        <f>AI22</f>
        <v/>
      </c>
      <c r="AK22" s="349">
        <f>AJ22</f>
        <v/>
      </c>
      <c r="AL22" s="349" t="n"/>
      <c r="AM22" s="349" t="n"/>
      <c r="AN22" s="349" t="n"/>
      <c r="AO22" s="349" t="n"/>
      <c r="AP22" s="349" t="n"/>
      <c r="AQ22" s="349" t="n"/>
      <c r="AR22" s="349" t="n"/>
      <c r="AS22" s="349" t="n"/>
      <c r="AT22" s="349" t="n"/>
      <c r="AU22" s="349" t="n"/>
      <c r="AV22" s="349" t="n"/>
      <c r="AW22" s="349" t="n"/>
      <c r="AX22" s="349" t="n"/>
      <c r="AY22" s="349" t="n"/>
      <c r="AZ22" s="349" t="n"/>
      <c r="BA22" s="349" t="n"/>
      <c r="BB22" s="349" t="n"/>
      <c r="BC22" s="349" t="n"/>
      <c r="BD22" s="349" t="n"/>
      <c r="BE22" s="349" t="n"/>
      <c r="BF22" s="349" t="n"/>
      <c r="BG22" s="349" t="n"/>
      <c r="BH22" s="350">
        <f>SUM(E22:BG22)</f>
        <v/>
      </c>
    </row>
    <row r="23" ht="13.9" customFormat="1" customHeight="1" s="54">
      <c r="A23" s="48">
        <f>A22+1</f>
        <v/>
      </c>
      <c r="B23" s="277" t="inlineStr">
        <is>
          <t>Jece Janer Moreira Lopes</t>
        </is>
      </c>
      <c r="C23" s="257" t="n"/>
      <c r="D23" s="255" t="n"/>
      <c r="E23" s="349">
        <f>31876.76+2868.91</f>
        <v/>
      </c>
      <c r="F23" s="349">
        <f>31876.76+2868.91</f>
        <v/>
      </c>
      <c r="G23" s="349">
        <f>31876.76+2868.91</f>
        <v/>
      </c>
      <c r="H23" s="349">
        <f>31876.76+2868.91</f>
        <v/>
      </c>
      <c r="I23" s="349">
        <f>31876.76+2868.91</f>
        <v/>
      </c>
      <c r="J23" s="349">
        <f>31876.76+2868.91</f>
        <v/>
      </c>
      <c r="K23" s="349">
        <f>31876.76+2868.91</f>
        <v/>
      </c>
      <c r="L23" s="349">
        <f>31876.76+2868.91</f>
        <v/>
      </c>
      <c r="M23" s="349">
        <f>31876.76+2868.91</f>
        <v/>
      </c>
      <c r="N23" s="349">
        <f>M23*1.05</f>
        <v/>
      </c>
      <c r="O23" s="349">
        <f>N23</f>
        <v/>
      </c>
      <c r="P23" s="349">
        <f>O23</f>
        <v/>
      </c>
      <c r="Q23" s="349">
        <f>P23</f>
        <v/>
      </c>
      <c r="R23" s="349">
        <f>Q23</f>
        <v/>
      </c>
      <c r="S23" s="349">
        <f>R23</f>
        <v/>
      </c>
      <c r="T23" s="349">
        <f>S23</f>
        <v/>
      </c>
      <c r="U23" s="349">
        <f>T23</f>
        <v/>
      </c>
      <c r="V23" s="349">
        <f>U23</f>
        <v/>
      </c>
      <c r="W23" s="349">
        <f>V23</f>
        <v/>
      </c>
      <c r="X23" s="349" t="n"/>
      <c r="Y23" s="349" t="n"/>
      <c r="Z23" s="349" t="n"/>
      <c r="AA23" s="349" t="n"/>
      <c r="AB23" s="349" t="n"/>
      <c r="AC23" s="349" t="n"/>
      <c r="AD23" s="349" t="n"/>
      <c r="AE23" s="349" t="n"/>
      <c r="AF23" s="349" t="n"/>
      <c r="AG23" s="349" t="n"/>
      <c r="AH23" s="349" t="n"/>
      <c r="AI23" s="349" t="n"/>
      <c r="AJ23" s="349" t="n"/>
      <c r="AK23" s="349" t="n"/>
      <c r="AL23" s="349" t="n"/>
      <c r="AM23" s="349" t="n"/>
      <c r="AN23" s="349" t="n"/>
      <c r="AO23" s="349" t="n"/>
      <c r="AP23" s="349" t="n"/>
      <c r="AQ23" s="349" t="n"/>
      <c r="AR23" s="349" t="n"/>
      <c r="AS23" s="349" t="n"/>
      <c r="AT23" s="349" t="n"/>
      <c r="AU23" s="349" t="n"/>
      <c r="AV23" s="349" t="n"/>
      <c r="AW23" s="349" t="n"/>
      <c r="AX23" s="349" t="n"/>
      <c r="AY23" s="349" t="n"/>
      <c r="AZ23" s="349" t="n"/>
      <c r="BA23" s="349" t="n"/>
      <c r="BB23" s="349" t="n"/>
      <c r="BC23" s="349" t="n"/>
      <c r="BD23" s="349" t="n"/>
      <c r="BE23" s="349" t="n"/>
      <c r="BF23" s="349" t="n"/>
      <c r="BG23" s="349" t="n"/>
      <c r="BH23" s="350">
        <f>SUM(E23:BG23)</f>
        <v/>
      </c>
    </row>
    <row r="24" ht="13.9" customFormat="1" customHeight="1" s="54">
      <c r="A24" s="48">
        <f>A23+1</f>
        <v/>
      </c>
      <c r="B24" s="277" t="inlineStr">
        <is>
          <t>José dos Santos Magalhães</t>
        </is>
      </c>
      <c r="C24" s="257" t="n"/>
      <c r="D24" s="255" t="n"/>
      <c r="E24" s="349">
        <f>22461.64+2021.55</f>
        <v/>
      </c>
      <c r="F24" s="349">
        <f>22461.64+2021.55</f>
        <v/>
      </c>
      <c r="G24" s="349">
        <f>22461.64+2021.55</f>
        <v/>
      </c>
      <c r="H24" s="349">
        <f>22461.64+2021.55</f>
        <v/>
      </c>
      <c r="I24" s="349">
        <f>22461.64+2021.55</f>
        <v/>
      </c>
      <c r="J24" s="349">
        <f>22461.64+2021.55</f>
        <v/>
      </c>
      <c r="K24" s="349">
        <f>22461.64+2021.55</f>
        <v/>
      </c>
      <c r="L24" s="349">
        <f>22461.64+2021.55</f>
        <v/>
      </c>
      <c r="M24" s="349">
        <f>22461.64+2021.55</f>
        <v/>
      </c>
      <c r="N24" s="349">
        <f>M24*1.05</f>
        <v/>
      </c>
      <c r="O24" s="349">
        <f>N24</f>
        <v/>
      </c>
      <c r="P24" s="349">
        <f>O24</f>
        <v/>
      </c>
      <c r="Q24" s="349">
        <f>P24</f>
        <v/>
      </c>
      <c r="R24" s="349">
        <f>Q24</f>
        <v/>
      </c>
      <c r="S24" s="349">
        <f>R24</f>
        <v/>
      </c>
      <c r="T24" s="349">
        <f>S24</f>
        <v/>
      </c>
      <c r="U24" s="349">
        <f>T24</f>
        <v/>
      </c>
      <c r="V24" s="349">
        <f>U24</f>
        <v/>
      </c>
      <c r="W24" s="349">
        <f>V24</f>
        <v/>
      </c>
      <c r="X24" s="349">
        <f>W24</f>
        <v/>
      </c>
      <c r="Y24" s="349">
        <f>X24</f>
        <v/>
      </c>
      <c r="Z24" s="349">
        <f>Y24*1.05</f>
        <v/>
      </c>
      <c r="AA24" s="349">
        <f>Z24</f>
        <v/>
      </c>
      <c r="AB24" s="349">
        <f>AA24</f>
        <v/>
      </c>
      <c r="AC24" s="349">
        <f>AB24</f>
        <v/>
      </c>
      <c r="AD24" s="349">
        <f>AC24</f>
        <v/>
      </c>
      <c r="AE24" s="349">
        <f>AD24</f>
        <v/>
      </c>
      <c r="AF24" s="349">
        <f>AE24</f>
        <v/>
      </c>
      <c r="AG24" s="349">
        <f>AF24</f>
        <v/>
      </c>
      <c r="AH24" s="349">
        <f>AG24</f>
        <v/>
      </c>
      <c r="AI24" s="349">
        <f>AH24</f>
        <v/>
      </c>
      <c r="AJ24" s="349">
        <f>AI24</f>
        <v/>
      </c>
      <c r="AK24" s="349">
        <f>AJ24</f>
        <v/>
      </c>
      <c r="AL24" s="349">
        <f>AK24*1.05</f>
        <v/>
      </c>
      <c r="AM24" s="349">
        <f>AL24</f>
        <v/>
      </c>
      <c r="AN24" s="349">
        <f>AM24</f>
        <v/>
      </c>
      <c r="AO24" s="349">
        <f>AN24</f>
        <v/>
      </c>
      <c r="AP24" s="349">
        <f>AO24</f>
        <v/>
      </c>
      <c r="AQ24" s="349">
        <f>AP24</f>
        <v/>
      </c>
      <c r="AR24" s="349">
        <f>AQ24</f>
        <v/>
      </c>
      <c r="AS24" s="349">
        <f>AR24</f>
        <v/>
      </c>
      <c r="AT24" s="349">
        <f>AS24</f>
        <v/>
      </c>
      <c r="AU24" s="349">
        <f>AT24</f>
        <v/>
      </c>
      <c r="AV24" s="349">
        <f>AU24</f>
        <v/>
      </c>
      <c r="AW24" s="349">
        <f>AV24</f>
        <v/>
      </c>
      <c r="AX24" s="349" t="n"/>
      <c r="AY24" s="349" t="n"/>
      <c r="AZ24" s="349" t="n"/>
      <c r="BA24" s="349" t="n"/>
      <c r="BB24" s="349" t="n"/>
      <c r="BC24" s="349" t="n"/>
      <c r="BD24" s="349" t="n"/>
      <c r="BE24" s="349" t="n"/>
      <c r="BF24" s="349" t="n"/>
      <c r="BG24" s="349" t="n"/>
      <c r="BH24" s="350">
        <f>SUM(E24:BG24)</f>
        <v/>
      </c>
    </row>
    <row r="25" ht="13.9" customFormat="1" customHeight="1" s="54">
      <c r="A25" s="48">
        <f>A24+1</f>
        <v/>
      </c>
      <c r="B25" s="277" t="inlineStr">
        <is>
          <t>José Pedro Francisconi Junior</t>
        </is>
      </c>
      <c r="C25" s="257" t="n"/>
      <c r="D25" s="255" t="n"/>
      <c r="E25" s="349">
        <f>22609.42+678.28</f>
        <v/>
      </c>
      <c r="F25" s="349">
        <f>22609.42+678.28</f>
        <v/>
      </c>
      <c r="G25" s="349">
        <f>22609.42+678.28</f>
        <v/>
      </c>
      <c r="H25" s="349">
        <f>22609.42+678.28</f>
        <v/>
      </c>
      <c r="I25" s="349">
        <f>22609.42+678.28</f>
        <v/>
      </c>
      <c r="J25" s="349">
        <f>22609.42+678.28</f>
        <v/>
      </c>
      <c r="K25" s="349">
        <f>22609.42+678.28</f>
        <v/>
      </c>
      <c r="L25" s="349">
        <f>22609.42+678.28</f>
        <v/>
      </c>
      <c r="M25" s="349">
        <f>22609.42+678.28</f>
        <v/>
      </c>
      <c r="N25" s="349">
        <f>M25*1.05</f>
        <v/>
      </c>
      <c r="O25" s="349">
        <f>N25</f>
        <v/>
      </c>
      <c r="P25" s="349">
        <f>O25</f>
        <v/>
      </c>
      <c r="Q25" s="349">
        <f>P25</f>
        <v/>
      </c>
      <c r="R25" s="349">
        <f>Q25</f>
        <v/>
      </c>
      <c r="S25" s="349">
        <f>R25</f>
        <v/>
      </c>
      <c r="T25" s="349">
        <f>S25</f>
        <v/>
      </c>
      <c r="U25" s="349">
        <f>T25</f>
        <v/>
      </c>
      <c r="V25" s="349">
        <f>U25</f>
        <v/>
      </c>
      <c r="W25" s="349">
        <f>V25</f>
        <v/>
      </c>
      <c r="X25" s="349">
        <f>W25</f>
        <v/>
      </c>
      <c r="Y25" s="349">
        <f>X25</f>
        <v/>
      </c>
      <c r="Z25" s="349">
        <f>Y25*1.05</f>
        <v/>
      </c>
      <c r="AA25" s="349">
        <f>Z25</f>
        <v/>
      </c>
      <c r="AB25" s="349">
        <f>AA25</f>
        <v/>
      </c>
      <c r="AC25" s="349">
        <f>AB25</f>
        <v/>
      </c>
      <c r="AD25" s="349">
        <f>AC25</f>
        <v/>
      </c>
      <c r="AE25" s="349">
        <f>AD25</f>
        <v/>
      </c>
      <c r="AF25" s="349">
        <f>AE25</f>
        <v/>
      </c>
      <c r="AG25" s="349">
        <f>AF25</f>
        <v/>
      </c>
      <c r="AH25" s="349">
        <f>AG25</f>
        <v/>
      </c>
      <c r="AI25" s="349">
        <f>AH25</f>
        <v/>
      </c>
      <c r="AJ25" s="349">
        <f>AI25</f>
        <v/>
      </c>
      <c r="AK25" s="349">
        <f>AJ25</f>
        <v/>
      </c>
      <c r="AL25" s="349" t="n"/>
      <c r="AM25" s="349" t="n"/>
      <c r="AN25" s="349" t="n"/>
      <c r="AO25" s="349" t="n"/>
      <c r="AP25" s="349" t="n"/>
      <c r="AQ25" s="349" t="n"/>
      <c r="AR25" s="349" t="n"/>
      <c r="AS25" s="349" t="n"/>
      <c r="AT25" s="349" t="n"/>
      <c r="AU25" s="349" t="n"/>
      <c r="AV25" s="349" t="n"/>
      <c r="AW25" s="349" t="n"/>
      <c r="AX25" s="349" t="n"/>
      <c r="AY25" s="349" t="n"/>
      <c r="AZ25" s="349" t="n"/>
      <c r="BA25" s="349" t="n"/>
      <c r="BB25" s="349" t="n"/>
      <c r="BC25" s="349" t="n"/>
      <c r="BD25" s="349" t="n"/>
      <c r="BE25" s="349" t="n"/>
      <c r="BF25" s="349" t="n"/>
      <c r="BG25" s="349" t="n"/>
      <c r="BH25" s="350">
        <f>SUM(E25:BG25)</f>
        <v/>
      </c>
    </row>
    <row r="26" ht="13.9" customFormat="1" customHeight="1" s="54">
      <c r="A26" s="48">
        <f>A25+1</f>
        <v/>
      </c>
      <c r="B26" s="277" t="inlineStr">
        <is>
          <t>Julia Saint Martin Rodrigues da Silva</t>
        </is>
      </c>
      <c r="C26" s="257" t="n"/>
      <c r="D26" s="255" t="n"/>
      <c r="E26" s="349" t="n">
        <v>4696.2</v>
      </c>
      <c r="F26" s="349" t="n">
        <v>4696.2</v>
      </c>
      <c r="G26" s="349" t="n">
        <v>4696.2</v>
      </c>
      <c r="H26" s="349" t="n">
        <v>4696.2</v>
      </c>
      <c r="I26" s="349" t="n">
        <v>4696.2</v>
      </c>
      <c r="J26" s="349" t="n">
        <v>4696.2</v>
      </c>
      <c r="K26" s="349" t="n">
        <v>4696.2</v>
      </c>
      <c r="L26" s="349" t="n">
        <v>4696.2</v>
      </c>
      <c r="M26" s="349" t="n">
        <v>4696.2</v>
      </c>
      <c r="N26" s="349">
        <f>M26*1.05</f>
        <v/>
      </c>
      <c r="O26" s="349">
        <f>N26</f>
        <v/>
      </c>
      <c r="P26" s="349">
        <f>O26</f>
        <v/>
      </c>
      <c r="Q26" s="349">
        <f>P26</f>
        <v/>
      </c>
      <c r="R26" s="349">
        <f>Q26</f>
        <v/>
      </c>
      <c r="S26" s="349">
        <f>R26</f>
        <v/>
      </c>
      <c r="T26" s="349">
        <f>S26</f>
        <v/>
      </c>
      <c r="U26" s="349">
        <f>T26</f>
        <v/>
      </c>
      <c r="V26" s="349">
        <f>U26</f>
        <v/>
      </c>
      <c r="W26" s="349">
        <f>V26</f>
        <v/>
      </c>
      <c r="X26" s="349">
        <f>W26</f>
        <v/>
      </c>
      <c r="Y26" s="349">
        <f>X26</f>
        <v/>
      </c>
      <c r="Z26" s="349">
        <f>Y26*1.05</f>
        <v/>
      </c>
      <c r="AA26" s="349">
        <f>Z26</f>
        <v/>
      </c>
      <c r="AB26" s="349">
        <f>AA26</f>
        <v/>
      </c>
      <c r="AC26" s="349">
        <f>AB26</f>
        <v/>
      </c>
      <c r="AD26" s="349">
        <f>AC26</f>
        <v/>
      </c>
      <c r="AE26" s="349">
        <f>AD26</f>
        <v/>
      </c>
      <c r="AF26" s="349">
        <f>AE26</f>
        <v/>
      </c>
      <c r="AG26" s="349">
        <f>AF26</f>
        <v/>
      </c>
      <c r="AH26" s="349">
        <f>AG26</f>
        <v/>
      </c>
      <c r="AI26" s="349">
        <f>AH26</f>
        <v/>
      </c>
      <c r="AJ26" s="349">
        <f>AI26</f>
        <v/>
      </c>
      <c r="AK26" s="349">
        <f>AJ26</f>
        <v/>
      </c>
      <c r="AL26" s="349">
        <f>AK26*1.05</f>
        <v/>
      </c>
      <c r="AM26" s="349">
        <f>AL26</f>
        <v/>
      </c>
      <c r="AN26" s="349">
        <f>AM26</f>
        <v/>
      </c>
      <c r="AO26" s="349">
        <f>AN26</f>
        <v/>
      </c>
      <c r="AP26" s="349">
        <f>AO26</f>
        <v/>
      </c>
      <c r="AQ26" s="349">
        <f>AP26</f>
        <v/>
      </c>
      <c r="AR26" s="349">
        <f>AQ26</f>
        <v/>
      </c>
      <c r="AS26" s="349">
        <f>AR26</f>
        <v/>
      </c>
      <c r="AT26" s="349">
        <f>AS26</f>
        <v/>
      </c>
      <c r="AU26" s="349">
        <f>AT26</f>
        <v/>
      </c>
      <c r="AV26" s="349">
        <f>AU26</f>
        <v/>
      </c>
      <c r="AW26" s="349">
        <f>AV26</f>
        <v/>
      </c>
      <c r="AX26" s="349" t="n"/>
      <c r="AY26" s="349" t="n"/>
      <c r="AZ26" s="349" t="n"/>
      <c r="BA26" s="349" t="n"/>
      <c r="BB26" s="349" t="n"/>
      <c r="BC26" s="349" t="n"/>
      <c r="BD26" s="349" t="n"/>
      <c r="BE26" s="349" t="n"/>
      <c r="BF26" s="349" t="n"/>
      <c r="BG26" s="349" t="n"/>
      <c r="BH26" s="350">
        <f>SUM(E26:BG26)</f>
        <v/>
      </c>
    </row>
    <row r="27" ht="13.9" customFormat="1" customHeight="1" s="54">
      <c r="A27" s="48">
        <f>A26+1</f>
        <v/>
      </c>
      <c r="B27" s="277" t="inlineStr">
        <is>
          <t>Juliana Vieira dos Santos Albuquerque</t>
        </is>
      </c>
      <c r="C27" s="257" t="n"/>
      <c r="D27" s="255" t="n"/>
      <c r="E27" s="349">
        <f>9924+595.44</f>
        <v/>
      </c>
      <c r="F27" s="349">
        <f>9924+595.44</f>
        <v/>
      </c>
      <c r="G27" s="349">
        <f>9924+595.44</f>
        <v/>
      </c>
      <c r="H27" s="349">
        <f>9924+595.44</f>
        <v/>
      </c>
      <c r="I27" s="349">
        <f>9924+595.44</f>
        <v/>
      </c>
      <c r="J27" s="349">
        <f>9924+595.44</f>
        <v/>
      </c>
      <c r="K27" s="349">
        <f>9924+595.44</f>
        <v/>
      </c>
      <c r="L27" s="349">
        <f>9924+595.44</f>
        <v/>
      </c>
      <c r="M27" s="349">
        <f>9924+595.44</f>
        <v/>
      </c>
      <c r="N27" s="349">
        <f>M27*1.05</f>
        <v/>
      </c>
      <c r="O27" s="349">
        <f>N27</f>
        <v/>
      </c>
      <c r="P27" s="349">
        <f>O27</f>
        <v/>
      </c>
      <c r="Q27" s="349">
        <f>P27</f>
        <v/>
      </c>
      <c r="R27" s="349">
        <f>Q27</f>
        <v/>
      </c>
      <c r="S27" s="349">
        <f>R27</f>
        <v/>
      </c>
      <c r="T27" s="349">
        <f>S27</f>
        <v/>
      </c>
      <c r="U27" s="349">
        <f>T27</f>
        <v/>
      </c>
      <c r="V27" s="349">
        <f>U27</f>
        <v/>
      </c>
      <c r="W27" s="349">
        <f>V27</f>
        <v/>
      </c>
      <c r="X27" s="349">
        <f>W27</f>
        <v/>
      </c>
      <c r="Y27" s="349">
        <f>X27</f>
        <v/>
      </c>
      <c r="Z27" s="349">
        <f>Y27*1.05</f>
        <v/>
      </c>
      <c r="AA27" s="349">
        <f>Z27</f>
        <v/>
      </c>
      <c r="AB27" s="349">
        <f>AA27</f>
        <v/>
      </c>
      <c r="AC27" s="349">
        <f>AB27</f>
        <v/>
      </c>
      <c r="AD27" s="349">
        <f>AC27</f>
        <v/>
      </c>
      <c r="AE27" s="349">
        <f>AD27</f>
        <v/>
      </c>
      <c r="AF27" s="349">
        <f>AE27</f>
        <v/>
      </c>
      <c r="AG27" s="349">
        <f>AF27</f>
        <v/>
      </c>
      <c r="AH27" s="349">
        <f>AG27</f>
        <v/>
      </c>
      <c r="AI27" s="349">
        <f>AH27</f>
        <v/>
      </c>
      <c r="AJ27" s="349">
        <f>AI27</f>
        <v/>
      </c>
      <c r="AK27" s="349">
        <f>AJ27</f>
        <v/>
      </c>
      <c r="AL27" s="349">
        <f>AK27*1.05</f>
        <v/>
      </c>
      <c r="AM27" s="349">
        <f>AL27</f>
        <v/>
      </c>
      <c r="AN27" s="349">
        <f>AM27</f>
        <v/>
      </c>
      <c r="AO27" s="349">
        <f>AN27</f>
        <v/>
      </c>
      <c r="AP27" s="349">
        <f>AO27</f>
        <v/>
      </c>
      <c r="AQ27" s="349">
        <f>AP27</f>
        <v/>
      </c>
      <c r="AR27" s="349">
        <f>AQ27</f>
        <v/>
      </c>
      <c r="AS27" s="349">
        <f>AR27</f>
        <v/>
      </c>
      <c r="AT27" s="349">
        <f>AS27</f>
        <v/>
      </c>
      <c r="AU27" s="349">
        <f>AT27</f>
        <v/>
      </c>
      <c r="AV27" s="349">
        <f>AU27</f>
        <v/>
      </c>
      <c r="AW27" s="349">
        <f>AV27</f>
        <v/>
      </c>
      <c r="AX27" s="349" t="n"/>
      <c r="AY27" s="349" t="n"/>
      <c r="AZ27" s="349" t="n"/>
      <c r="BA27" s="349" t="n"/>
      <c r="BB27" s="349" t="n"/>
      <c r="BC27" s="349" t="n"/>
      <c r="BD27" s="349" t="n"/>
      <c r="BE27" s="349" t="n"/>
      <c r="BF27" s="349" t="n"/>
      <c r="BG27" s="349" t="n"/>
      <c r="BH27" s="350">
        <f>SUM(E27:BG27)</f>
        <v/>
      </c>
    </row>
    <row r="28" ht="13.9" customFormat="1" customHeight="1" s="54">
      <c r="A28" s="48">
        <f>A27+1</f>
        <v/>
      </c>
      <c r="B28" s="277" t="inlineStr">
        <is>
          <t>Laís Torreão de Castro</t>
        </is>
      </c>
      <c r="C28" s="257" t="n"/>
      <c r="D28" s="255" t="n"/>
      <c r="E28" s="349">
        <f>13152.67</f>
        <v/>
      </c>
      <c r="F28" s="349">
        <f>13152.67</f>
        <v/>
      </c>
      <c r="G28" s="349">
        <f>13152.67</f>
        <v/>
      </c>
      <c r="H28" s="349">
        <f>13152.67</f>
        <v/>
      </c>
      <c r="I28" s="349">
        <f>13152.67</f>
        <v/>
      </c>
      <c r="J28" s="349">
        <f>13152.67</f>
        <v/>
      </c>
      <c r="K28" s="349">
        <f>13152.67</f>
        <v/>
      </c>
      <c r="L28" s="349">
        <f>13152.67</f>
        <v/>
      </c>
      <c r="M28" s="349">
        <f>13152.67</f>
        <v/>
      </c>
      <c r="N28" s="349">
        <f>M28*1.05</f>
        <v/>
      </c>
      <c r="O28" s="349">
        <f>N28</f>
        <v/>
      </c>
      <c r="P28" s="349">
        <f>O28</f>
        <v/>
      </c>
      <c r="Q28" s="349">
        <f>P28</f>
        <v/>
      </c>
      <c r="R28" s="349">
        <f>Q28</f>
        <v/>
      </c>
      <c r="S28" s="349">
        <f>R28</f>
        <v/>
      </c>
      <c r="T28" s="349">
        <f>S28</f>
        <v/>
      </c>
      <c r="U28" s="349">
        <f>T28</f>
        <v/>
      </c>
      <c r="V28" s="349">
        <f>U28</f>
        <v/>
      </c>
      <c r="W28" s="349">
        <f>V28</f>
        <v/>
      </c>
      <c r="X28" s="349">
        <f>W28</f>
        <v/>
      </c>
      <c r="Y28" s="349">
        <f>X28</f>
        <v/>
      </c>
      <c r="Z28" s="349">
        <f>Y28*1.05</f>
        <v/>
      </c>
      <c r="AA28" s="349">
        <f>Z28</f>
        <v/>
      </c>
      <c r="AB28" s="349">
        <f>AA28</f>
        <v/>
      </c>
      <c r="AC28" s="349">
        <f>AB28</f>
        <v/>
      </c>
      <c r="AD28" s="349">
        <f>AC28</f>
        <v/>
      </c>
      <c r="AE28" s="349">
        <f>AD28</f>
        <v/>
      </c>
      <c r="AF28" s="349">
        <f>AE28</f>
        <v/>
      </c>
      <c r="AG28" s="349">
        <f>AF28</f>
        <v/>
      </c>
      <c r="AH28" s="349">
        <f>AG28</f>
        <v/>
      </c>
      <c r="AI28" s="349">
        <f>AH28</f>
        <v/>
      </c>
      <c r="AJ28" s="349">
        <f>AI28</f>
        <v/>
      </c>
      <c r="AK28" s="349">
        <f>AJ28</f>
        <v/>
      </c>
      <c r="AL28" s="349">
        <f>AK28*1.05</f>
        <v/>
      </c>
      <c r="AM28" s="349">
        <f>AL28</f>
        <v/>
      </c>
      <c r="AN28" s="349">
        <f>AM28</f>
        <v/>
      </c>
      <c r="AO28" s="349">
        <f>AN28</f>
        <v/>
      </c>
      <c r="AP28" s="349">
        <f>AO28</f>
        <v/>
      </c>
      <c r="AQ28" s="349">
        <f>AP28</f>
        <v/>
      </c>
      <c r="AR28" s="349">
        <f>AQ28</f>
        <v/>
      </c>
      <c r="AS28" s="349">
        <f>AR28</f>
        <v/>
      </c>
      <c r="AT28" s="349">
        <f>AS28</f>
        <v/>
      </c>
      <c r="AU28" s="349">
        <f>AT28</f>
        <v/>
      </c>
      <c r="AV28" s="349">
        <f>AU28</f>
        <v/>
      </c>
      <c r="AW28" s="349">
        <f>AV28</f>
        <v/>
      </c>
      <c r="AX28" s="349" t="n"/>
      <c r="AY28" s="349" t="n"/>
      <c r="AZ28" s="349" t="n"/>
      <c r="BA28" s="349" t="n"/>
      <c r="BB28" s="349" t="n"/>
      <c r="BC28" s="349" t="n"/>
      <c r="BD28" s="349" t="n"/>
      <c r="BE28" s="349" t="n"/>
      <c r="BF28" s="349" t="n"/>
      <c r="BG28" s="349" t="n"/>
      <c r="BH28" s="350">
        <f>SUM(E28:BG28)</f>
        <v/>
      </c>
    </row>
    <row r="29" ht="13.9" customFormat="1" customHeight="1" s="54">
      <c r="A29" s="48">
        <f>A28+1</f>
        <v/>
      </c>
      <c r="B29" s="277" t="inlineStr">
        <is>
          <t>Lauro Costa Girão Borges</t>
        </is>
      </c>
      <c r="C29" s="257" t="n"/>
      <c r="D29" s="255" t="n"/>
      <c r="E29" s="349">
        <f>24996.75</f>
        <v/>
      </c>
      <c r="F29" s="349">
        <f>24996.75</f>
        <v/>
      </c>
      <c r="G29" s="349">
        <f>24996.75</f>
        <v/>
      </c>
      <c r="H29" s="349">
        <f>24996.75</f>
        <v/>
      </c>
      <c r="I29" s="349">
        <f>24996.75</f>
        <v/>
      </c>
      <c r="J29" s="349">
        <f>24996.75</f>
        <v/>
      </c>
      <c r="K29" s="349">
        <f>24996.75</f>
        <v/>
      </c>
      <c r="L29" s="349">
        <f>24996.75</f>
        <v/>
      </c>
      <c r="M29" s="349">
        <f>24996.75</f>
        <v/>
      </c>
      <c r="N29" s="349" t="n"/>
      <c r="O29" s="349" t="n"/>
      <c r="P29" s="349" t="n"/>
      <c r="Q29" s="349" t="n"/>
      <c r="R29" s="349" t="n"/>
      <c r="S29" s="349" t="n"/>
      <c r="T29" s="349" t="n"/>
      <c r="U29" s="349" t="n"/>
      <c r="V29" s="349" t="n"/>
      <c r="W29" s="349" t="n"/>
      <c r="X29" s="349" t="n"/>
      <c r="Y29" s="349" t="n"/>
      <c r="Z29" s="349" t="n"/>
      <c r="AA29" s="349" t="n"/>
      <c r="AB29" s="349" t="n"/>
      <c r="AC29" s="349" t="n"/>
      <c r="AD29" s="349" t="n"/>
      <c r="AE29" s="349" t="n"/>
      <c r="AF29" s="349" t="n"/>
      <c r="AG29" s="349" t="n"/>
      <c r="AH29" s="349" t="n"/>
      <c r="AI29" s="349" t="n"/>
      <c r="AJ29" s="349" t="n"/>
      <c r="AK29" s="349" t="n"/>
      <c r="AL29" s="349" t="n"/>
      <c r="AM29" s="349" t="n"/>
      <c r="AN29" s="349" t="n"/>
      <c r="AO29" s="349" t="n"/>
      <c r="AP29" s="349" t="n"/>
      <c r="AQ29" s="349" t="n"/>
      <c r="AR29" s="349" t="n"/>
      <c r="AS29" s="349" t="n"/>
      <c r="AT29" s="349" t="n"/>
      <c r="AU29" s="349" t="n"/>
      <c r="AV29" s="349" t="n"/>
      <c r="AW29" s="349" t="n"/>
      <c r="AX29" s="349" t="n"/>
      <c r="AY29" s="349" t="n"/>
      <c r="AZ29" s="349" t="n"/>
      <c r="BA29" s="349" t="n"/>
      <c r="BB29" s="349" t="n"/>
      <c r="BC29" s="349" t="n"/>
      <c r="BD29" s="349" t="n"/>
      <c r="BE29" s="349" t="n"/>
      <c r="BF29" s="349" t="n"/>
      <c r="BG29" s="349" t="n"/>
      <c r="BH29" s="350">
        <f>SUM(E29:BG29)</f>
        <v/>
      </c>
    </row>
    <row r="30" ht="13.9" customFormat="1" customHeight="1" s="54">
      <c r="A30" s="48">
        <f>A29+1</f>
        <v/>
      </c>
      <c r="B30" s="277" t="inlineStr">
        <is>
          <t>Leticia Pinto da Silva</t>
        </is>
      </c>
      <c r="C30" s="257" t="n"/>
      <c r="D30" s="255" t="n"/>
      <c r="E30" s="349" t="n">
        <v>13133.08</v>
      </c>
      <c r="F30" s="349" t="n">
        <v>13133.08</v>
      </c>
      <c r="G30" s="349" t="n">
        <v>13133.08</v>
      </c>
      <c r="H30" s="349" t="n">
        <v>13133.08</v>
      </c>
      <c r="I30" s="349" t="n">
        <v>13133.08</v>
      </c>
      <c r="J30" s="349" t="n">
        <v>13133.08</v>
      </c>
      <c r="K30" s="349" t="n">
        <v>13133.08</v>
      </c>
      <c r="L30" s="349" t="n">
        <v>13133.08</v>
      </c>
      <c r="M30" s="349" t="n">
        <v>13133.08</v>
      </c>
      <c r="N30" s="349">
        <f>M30*1.05</f>
        <v/>
      </c>
      <c r="O30" s="349">
        <f>N30</f>
        <v/>
      </c>
      <c r="P30" s="349">
        <f>O30</f>
        <v/>
      </c>
      <c r="Q30" s="349">
        <f>P30</f>
        <v/>
      </c>
      <c r="R30" s="349">
        <f>Q30</f>
        <v/>
      </c>
      <c r="S30" s="349">
        <f>R30</f>
        <v/>
      </c>
      <c r="T30" s="349">
        <f>S30</f>
        <v/>
      </c>
      <c r="U30" s="349">
        <f>T30</f>
        <v/>
      </c>
      <c r="V30" s="349">
        <f>U30</f>
        <v/>
      </c>
      <c r="W30" s="349">
        <f>V30</f>
        <v/>
      </c>
      <c r="X30" s="349">
        <f>W30</f>
        <v/>
      </c>
      <c r="Y30" s="349">
        <f>X30</f>
        <v/>
      </c>
      <c r="Z30" s="349">
        <f>Y30*1.05</f>
        <v/>
      </c>
      <c r="AA30" s="349">
        <f>Z30</f>
        <v/>
      </c>
      <c r="AB30" s="349">
        <f>AA30</f>
        <v/>
      </c>
      <c r="AC30" s="349">
        <f>AB30</f>
        <v/>
      </c>
      <c r="AD30" s="349">
        <f>AC30</f>
        <v/>
      </c>
      <c r="AE30" s="349">
        <f>AD30</f>
        <v/>
      </c>
      <c r="AF30" s="349">
        <f>AE30</f>
        <v/>
      </c>
      <c r="AG30" s="349">
        <f>AF30</f>
        <v/>
      </c>
      <c r="AH30" s="349">
        <f>AG30</f>
        <v/>
      </c>
      <c r="AI30" s="349">
        <f>AH30</f>
        <v/>
      </c>
      <c r="AJ30" s="349">
        <f>AI30</f>
        <v/>
      </c>
      <c r="AK30" s="349">
        <f>AJ30</f>
        <v/>
      </c>
      <c r="AL30" s="349">
        <f>AK30*1.05</f>
        <v/>
      </c>
      <c r="AM30" s="349">
        <f>AL30</f>
        <v/>
      </c>
      <c r="AN30" s="349">
        <f>AM30</f>
        <v/>
      </c>
      <c r="AO30" s="349">
        <f>AN30</f>
        <v/>
      </c>
      <c r="AP30" s="349">
        <f>AO30</f>
        <v/>
      </c>
      <c r="AQ30" s="349">
        <f>AP30</f>
        <v/>
      </c>
      <c r="AR30" s="349">
        <f>AQ30</f>
        <v/>
      </c>
      <c r="AS30" s="349">
        <f>AR30</f>
        <v/>
      </c>
      <c r="AT30" s="349">
        <f>AS30</f>
        <v/>
      </c>
      <c r="AU30" s="349">
        <f>AT30</f>
        <v/>
      </c>
      <c r="AV30" s="349">
        <f>AU30</f>
        <v/>
      </c>
      <c r="AW30" s="349">
        <f>AV30</f>
        <v/>
      </c>
      <c r="AX30" s="349" t="n"/>
      <c r="AY30" s="349" t="n"/>
      <c r="AZ30" s="349" t="n"/>
      <c r="BA30" s="349" t="n"/>
      <c r="BB30" s="349" t="n"/>
      <c r="BC30" s="349" t="n"/>
      <c r="BD30" s="349" t="n"/>
      <c r="BE30" s="349" t="n"/>
      <c r="BF30" s="349" t="n"/>
      <c r="BG30" s="349" t="n"/>
      <c r="BH30" s="350">
        <f>SUM(E30:BG30)</f>
        <v/>
      </c>
    </row>
    <row r="31" ht="13.9" customFormat="1" customHeight="1" s="54">
      <c r="A31" s="48">
        <f>A30+1</f>
        <v/>
      </c>
      <c r="B31" s="277" t="inlineStr">
        <is>
          <t>Lucas de Oliveira Antunes</t>
        </is>
      </c>
      <c r="C31" s="257" t="n"/>
      <c r="D31" s="255" t="n"/>
      <c r="E31" s="349" t="n">
        <v>11709.19</v>
      </c>
      <c r="F31" s="349" t="n">
        <v>11709.19</v>
      </c>
      <c r="G31" s="349" t="n">
        <v>11709.19</v>
      </c>
      <c r="H31" s="349" t="n">
        <v>11709.19</v>
      </c>
      <c r="I31" s="349" t="n">
        <v>11709.19</v>
      </c>
      <c r="J31" s="349" t="n">
        <v>11709.19</v>
      </c>
      <c r="K31" s="349" t="n">
        <v>11709.19</v>
      </c>
      <c r="L31" s="349" t="n">
        <v>11709.19</v>
      </c>
      <c r="M31" s="349" t="n">
        <v>11709.19</v>
      </c>
      <c r="N31" s="349">
        <f>M31*1.05</f>
        <v/>
      </c>
      <c r="O31" s="349">
        <f>N31</f>
        <v/>
      </c>
      <c r="P31" s="349">
        <f>O31</f>
        <v/>
      </c>
      <c r="Q31" s="349">
        <f>P31</f>
        <v/>
      </c>
      <c r="R31" s="349">
        <f>Q31</f>
        <v/>
      </c>
      <c r="S31" s="349">
        <f>R31</f>
        <v/>
      </c>
      <c r="T31" s="349">
        <f>S31</f>
        <v/>
      </c>
      <c r="U31" s="349">
        <f>T31</f>
        <v/>
      </c>
      <c r="V31" s="349">
        <f>U31</f>
        <v/>
      </c>
      <c r="W31" s="349">
        <f>V31</f>
        <v/>
      </c>
      <c r="X31" s="349">
        <f>W31</f>
        <v/>
      </c>
      <c r="Y31" s="349">
        <f>X31</f>
        <v/>
      </c>
      <c r="Z31" s="349">
        <f>Y31*1.05</f>
        <v/>
      </c>
      <c r="AA31" s="349">
        <f>Z31</f>
        <v/>
      </c>
      <c r="AB31" s="349">
        <f>AA31</f>
        <v/>
      </c>
      <c r="AC31" s="349">
        <f>AB31</f>
        <v/>
      </c>
      <c r="AD31" s="349">
        <f>AC31</f>
        <v/>
      </c>
      <c r="AE31" s="349">
        <f>AD31</f>
        <v/>
      </c>
      <c r="AF31" s="349">
        <f>AE31</f>
        <v/>
      </c>
      <c r="AG31" s="349">
        <f>AF31</f>
        <v/>
      </c>
      <c r="AH31" s="349">
        <f>AG31</f>
        <v/>
      </c>
      <c r="AI31" s="349">
        <f>AH31</f>
        <v/>
      </c>
      <c r="AJ31" s="349">
        <f>AI31</f>
        <v/>
      </c>
      <c r="AK31" s="349">
        <f>AJ31</f>
        <v/>
      </c>
      <c r="AL31" s="349">
        <f>AK31*1.05</f>
        <v/>
      </c>
      <c r="AM31" s="349">
        <f>AL31</f>
        <v/>
      </c>
      <c r="AN31" s="349">
        <f>AM31</f>
        <v/>
      </c>
      <c r="AO31" s="349">
        <f>AN31</f>
        <v/>
      </c>
      <c r="AP31" s="349">
        <f>AO31</f>
        <v/>
      </c>
      <c r="AQ31" s="349">
        <f>AP31</f>
        <v/>
      </c>
      <c r="AR31" s="349">
        <f>AQ31</f>
        <v/>
      </c>
      <c r="AS31" s="349">
        <f>AR31</f>
        <v/>
      </c>
      <c r="AT31" s="349">
        <f>AS31</f>
        <v/>
      </c>
      <c r="AU31" s="349">
        <f>AT31</f>
        <v/>
      </c>
      <c r="AV31" s="349">
        <f>AU31</f>
        <v/>
      </c>
      <c r="AW31" s="349">
        <f>AV31</f>
        <v/>
      </c>
      <c r="AX31" s="349" t="n"/>
      <c r="AY31" s="349" t="n"/>
      <c r="AZ31" s="349" t="n"/>
      <c r="BA31" s="349" t="n"/>
      <c r="BB31" s="349" t="n"/>
      <c r="BC31" s="349" t="n"/>
      <c r="BD31" s="349" t="n"/>
      <c r="BE31" s="349" t="n"/>
      <c r="BF31" s="349" t="n"/>
      <c r="BG31" s="349" t="n"/>
      <c r="BH31" s="350">
        <f>SUM(E31:BG31)</f>
        <v/>
      </c>
    </row>
    <row r="32" ht="13.9" customFormat="1" customHeight="1" s="54">
      <c r="A32" s="48">
        <f>A31+1</f>
        <v/>
      </c>
      <c r="B32" s="277" t="inlineStr">
        <is>
          <t>Luis Eduardo Sousa e Silva</t>
        </is>
      </c>
      <c r="C32" s="257" t="n"/>
      <c r="D32" s="255" t="n"/>
      <c r="E32" s="349">
        <f>3961.56+237.69</f>
        <v/>
      </c>
      <c r="F32" s="349">
        <f>3961.56+237.69</f>
        <v/>
      </c>
      <c r="G32" s="349">
        <f>3961.56+237.69</f>
        <v/>
      </c>
      <c r="H32" s="349">
        <f>3961.56+237.69</f>
        <v/>
      </c>
      <c r="I32" s="349">
        <f>3961.56+237.69</f>
        <v/>
      </c>
      <c r="J32" s="349">
        <f>3961.56+237.69</f>
        <v/>
      </c>
      <c r="K32" s="349">
        <f>3961.56+237.69</f>
        <v/>
      </c>
      <c r="L32" s="349">
        <f>3961.56+237.69</f>
        <v/>
      </c>
      <c r="M32" s="349">
        <f>3961.56+237.69</f>
        <v/>
      </c>
      <c r="N32" s="349" t="n"/>
      <c r="O32" s="349" t="n"/>
      <c r="P32" s="349" t="n"/>
      <c r="Q32" s="349" t="n"/>
      <c r="R32" s="349" t="n"/>
      <c r="S32" s="349" t="n"/>
      <c r="T32" s="349" t="n"/>
      <c r="U32" s="349" t="n"/>
      <c r="V32" s="349" t="n"/>
      <c r="W32" s="349" t="n"/>
      <c r="X32" s="349" t="n"/>
      <c r="Y32" s="349" t="n"/>
      <c r="Z32" s="349" t="n"/>
      <c r="AA32" s="349" t="n"/>
      <c r="AB32" s="349" t="n"/>
      <c r="AC32" s="349" t="n"/>
      <c r="AD32" s="349" t="n"/>
      <c r="AE32" s="349" t="n"/>
      <c r="AF32" s="349" t="n"/>
      <c r="AG32" s="349" t="n"/>
      <c r="AH32" s="349" t="n"/>
      <c r="AI32" s="349" t="n"/>
      <c r="AJ32" s="349" t="n"/>
      <c r="AK32" s="349" t="n"/>
      <c r="AL32" s="349" t="n"/>
      <c r="AM32" s="349" t="n"/>
      <c r="AN32" s="349" t="n"/>
      <c r="AO32" s="349" t="n"/>
      <c r="AP32" s="349" t="n"/>
      <c r="AQ32" s="349" t="n"/>
      <c r="AR32" s="349" t="n"/>
      <c r="AS32" s="349" t="n"/>
      <c r="AT32" s="349" t="n"/>
      <c r="AU32" s="349" t="n"/>
      <c r="AV32" s="349" t="n"/>
      <c r="AW32" s="349" t="n"/>
      <c r="AX32" s="349" t="n"/>
      <c r="AY32" s="349" t="n"/>
      <c r="AZ32" s="349" t="n"/>
      <c r="BA32" s="349" t="n"/>
      <c r="BB32" s="349" t="n"/>
      <c r="BC32" s="349" t="n"/>
      <c r="BD32" s="349" t="n"/>
      <c r="BE32" s="349" t="n"/>
      <c r="BF32" s="349" t="n"/>
      <c r="BG32" s="349" t="n"/>
      <c r="BH32" s="350">
        <f>SUM(E32:BG32)</f>
        <v/>
      </c>
    </row>
    <row r="33" ht="13.9" customFormat="1" customHeight="1" s="54">
      <c r="A33" s="48">
        <f>A32+1</f>
        <v/>
      </c>
      <c r="B33" s="277" t="inlineStr">
        <is>
          <t>Luiz Augusto de Assis Peixoto</t>
        </is>
      </c>
      <c r="C33" s="257" t="n"/>
      <c r="D33" s="255" t="n"/>
      <c r="E33" s="349" t="n">
        <v>12523.2</v>
      </c>
      <c r="F33" s="349" t="n">
        <v>12523.2</v>
      </c>
      <c r="G33" s="349" t="n">
        <v>12523.2</v>
      </c>
      <c r="H33" s="349" t="n">
        <v>12523.2</v>
      </c>
      <c r="I33" s="349" t="n">
        <v>12523.2</v>
      </c>
      <c r="J33" s="349" t="n">
        <v>12523.2</v>
      </c>
      <c r="K33" s="349" t="n">
        <v>12523.2</v>
      </c>
      <c r="L33" s="349" t="n">
        <v>12523.2</v>
      </c>
      <c r="M33" s="349" t="n">
        <v>12523.2</v>
      </c>
      <c r="N33" s="349" t="n"/>
      <c r="O33" s="349" t="n"/>
      <c r="P33" s="349" t="n"/>
      <c r="Q33" s="349" t="n"/>
      <c r="R33" s="349" t="n"/>
      <c r="S33" s="349" t="n"/>
      <c r="T33" s="349" t="n"/>
      <c r="U33" s="349" t="n"/>
      <c r="V33" s="349" t="n"/>
      <c r="W33" s="349" t="n"/>
      <c r="X33" s="349" t="n"/>
      <c r="Y33" s="349" t="n"/>
      <c r="Z33" s="349" t="n"/>
      <c r="AA33" s="349" t="n"/>
      <c r="AB33" s="349" t="n"/>
      <c r="AC33" s="349" t="n"/>
      <c r="AD33" s="349" t="n"/>
      <c r="AE33" s="349" t="n"/>
      <c r="AF33" s="349" t="n"/>
      <c r="AG33" s="349" t="n"/>
      <c r="AH33" s="349" t="n"/>
      <c r="AI33" s="349" t="n"/>
      <c r="AJ33" s="349" t="n"/>
      <c r="AK33" s="349" t="n"/>
      <c r="AL33" s="349" t="n"/>
      <c r="AM33" s="349" t="n"/>
      <c r="AN33" s="349" t="n"/>
      <c r="AO33" s="349" t="n"/>
      <c r="AP33" s="349" t="n"/>
      <c r="AQ33" s="349" t="n"/>
      <c r="AR33" s="349" t="n"/>
      <c r="AS33" s="349" t="n"/>
      <c r="AT33" s="349" t="n"/>
      <c r="AU33" s="349" t="n"/>
      <c r="AV33" s="349" t="n"/>
      <c r="AW33" s="349" t="n"/>
      <c r="AX33" s="349" t="n"/>
      <c r="AY33" s="349" t="n"/>
      <c r="AZ33" s="349" t="n"/>
      <c r="BA33" s="349" t="n"/>
      <c r="BB33" s="349" t="n"/>
      <c r="BC33" s="349" t="n"/>
      <c r="BD33" s="349" t="n"/>
      <c r="BE33" s="349" t="n"/>
      <c r="BF33" s="349" t="n"/>
      <c r="BG33" s="349" t="n"/>
      <c r="BH33" s="350">
        <f>SUM(E33:BG33)</f>
        <v/>
      </c>
    </row>
    <row r="34" ht="13.9" customFormat="1" customHeight="1" s="54">
      <c r="A34" s="48">
        <f>A33+1</f>
        <v/>
      </c>
      <c r="B34" s="277" t="inlineStr">
        <is>
          <t>Maria Aparecida Francelino dos Santos</t>
        </is>
      </c>
      <c r="C34" s="257" t="n"/>
      <c r="D34" s="255" t="n"/>
      <c r="E34" s="349">
        <f>2817.72+422.66</f>
        <v/>
      </c>
      <c r="F34" s="349">
        <f>2817.72+422.66</f>
        <v/>
      </c>
      <c r="G34" s="349">
        <f>2817.72+422.66</f>
        <v/>
      </c>
      <c r="H34" s="349">
        <f>2817.72+422.66</f>
        <v/>
      </c>
      <c r="I34" s="349">
        <f>2817.72+422.66</f>
        <v/>
      </c>
      <c r="J34" s="349">
        <f>2817.72+422.66</f>
        <v/>
      </c>
      <c r="K34" s="349">
        <f>2817.72+422.66</f>
        <v/>
      </c>
      <c r="L34" s="349">
        <f>2817.72+422.66</f>
        <v/>
      </c>
      <c r="M34" s="349">
        <f>2817.72+422.66</f>
        <v/>
      </c>
      <c r="N34" s="349" t="n"/>
      <c r="O34" s="349" t="n"/>
      <c r="P34" s="349" t="n"/>
      <c r="Q34" s="349" t="n"/>
      <c r="R34" s="349" t="n"/>
      <c r="S34" s="349" t="n"/>
      <c r="T34" s="349" t="n"/>
      <c r="U34" s="349" t="n"/>
      <c r="V34" s="349" t="n"/>
      <c r="W34" s="349" t="n"/>
      <c r="X34" s="349" t="n"/>
      <c r="Y34" s="349" t="n"/>
      <c r="Z34" s="349" t="n"/>
      <c r="AA34" s="349" t="n"/>
      <c r="AB34" s="349" t="n"/>
      <c r="AC34" s="349" t="n"/>
      <c r="AD34" s="349" t="n"/>
      <c r="AE34" s="349" t="n"/>
      <c r="AF34" s="349" t="n"/>
      <c r="AG34" s="349" t="n"/>
      <c r="AH34" s="349" t="n"/>
      <c r="AI34" s="349" t="n"/>
      <c r="AJ34" s="349" t="n"/>
      <c r="AK34" s="349" t="n"/>
      <c r="AL34" s="349" t="n"/>
      <c r="AM34" s="349" t="n"/>
      <c r="AN34" s="349" t="n"/>
      <c r="AO34" s="349" t="n"/>
      <c r="AP34" s="349" t="n"/>
      <c r="AQ34" s="349" t="n"/>
      <c r="AR34" s="349" t="n"/>
      <c r="AS34" s="349" t="n"/>
      <c r="AT34" s="349" t="n"/>
      <c r="AU34" s="349" t="n"/>
      <c r="AV34" s="349" t="n"/>
      <c r="AW34" s="349" t="n"/>
      <c r="AX34" s="349" t="n"/>
      <c r="AY34" s="349" t="n"/>
      <c r="AZ34" s="349" t="n"/>
      <c r="BA34" s="349" t="n"/>
      <c r="BB34" s="349" t="n"/>
      <c r="BC34" s="349" t="n"/>
      <c r="BD34" s="349" t="n"/>
      <c r="BE34" s="349" t="n"/>
      <c r="BF34" s="349" t="n"/>
      <c r="BG34" s="349" t="n"/>
      <c r="BH34" s="350">
        <f>SUM(E34:BG34)</f>
        <v/>
      </c>
    </row>
    <row r="35" ht="13.9" customFormat="1" customHeight="1" s="54">
      <c r="A35" s="48">
        <f>A34+1</f>
        <v/>
      </c>
      <c r="B35" s="277" t="inlineStr">
        <is>
          <t>Paola Cemin da Silva</t>
        </is>
      </c>
      <c r="C35" s="257" t="n"/>
      <c r="D35" s="255" t="n"/>
      <c r="E35" s="349">
        <f>12893.4+773.6</f>
        <v/>
      </c>
      <c r="F35" s="349">
        <f>12893.4+773.6</f>
        <v/>
      </c>
      <c r="G35" s="349">
        <f>12893.4+773.6</f>
        <v/>
      </c>
      <c r="H35" s="349">
        <f>12893.4+773.6</f>
        <v/>
      </c>
      <c r="I35" s="349">
        <f>12893.4+773.6</f>
        <v/>
      </c>
      <c r="J35" s="349">
        <f>12893.4+773.6</f>
        <v/>
      </c>
      <c r="K35" s="349">
        <f>12893.4+773.6</f>
        <v/>
      </c>
      <c r="L35" s="349">
        <f>12893.4+773.6</f>
        <v/>
      </c>
      <c r="M35" s="349">
        <f>12893.4+773.6</f>
        <v/>
      </c>
      <c r="N35" s="349">
        <f>M35*1.05</f>
        <v/>
      </c>
      <c r="O35" s="349">
        <f>N35</f>
        <v/>
      </c>
      <c r="P35" s="349">
        <f>O35</f>
        <v/>
      </c>
      <c r="Q35" s="349">
        <f>P35</f>
        <v/>
      </c>
      <c r="R35" s="349">
        <f>Q35</f>
        <v/>
      </c>
      <c r="S35" s="349">
        <f>R35</f>
        <v/>
      </c>
      <c r="T35" s="349">
        <f>S35</f>
        <v/>
      </c>
      <c r="U35" s="349">
        <f>T35</f>
        <v/>
      </c>
      <c r="V35" s="349">
        <f>U35</f>
        <v/>
      </c>
      <c r="W35" s="349">
        <f>V35</f>
        <v/>
      </c>
      <c r="X35" s="349">
        <f>W35</f>
        <v/>
      </c>
      <c r="Y35" s="349">
        <f>X35</f>
        <v/>
      </c>
      <c r="Z35" s="349">
        <f>Y35*1.05</f>
        <v/>
      </c>
      <c r="AA35" s="349">
        <f>Z35</f>
        <v/>
      </c>
      <c r="AB35" s="349">
        <f>AA35</f>
        <v/>
      </c>
      <c r="AC35" s="349">
        <f>AB35</f>
        <v/>
      </c>
      <c r="AD35" s="349">
        <f>AC35</f>
        <v/>
      </c>
      <c r="AE35" s="349">
        <f>AD35</f>
        <v/>
      </c>
      <c r="AF35" s="349">
        <f>AE35</f>
        <v/>
      </c>
      <c r="AG35" s="349">
        <f>AF35</f>
        <v/>
      </c>
      <c r="AH35" s="349">
        <f>AG35</f>
        <v/>
      </c>
      <c r="AI35" s="349">
        <f>AH35</f>
        <v/>
      </c>
      <c r="AJ35" s="349">
        <f>AI35</f>
        <v/>
      </c>
      <c r="AK35" s="349">
        <f>AJ35</f>
        <v/>
      </c>
      <c r="AL35" s="349" t="n"/>
      <c r="AM35" s="349" t="n"/>
      <c r="AN35" s="349" t="n"/>
      <c r="AO35" s="349" t="n"/>
      <c r="AP35" s="349" t="n"/>
      <c r="AQ35" s="349" t="n"/>
      <c r="AR35" s="349" t="n"/>
      <c r="AS35" s="349" t="n"/>
      <c r="AT35" s="349" t="n"/>
      <c r="AU35" s="349" t="n"/>
      <c r="AV35" s="349" t="n"/>
      <c r="AW35" s="349" t="n"/>
      <c r="AX35" s="349" t="n"/>
      <c r="AY35" s="349" t="n"/>
      <c r="AZ35" s="349" t="n"/>
      <c r="BA35" s="349" t="n"/>
      <c r="BB35" s="349" t="n"/>
      <c r="BC35" s="349" t="n"/>
      <c r="BD35" s="349" t="n"/>
      <c r="BE35" s="349" t="n"/>
      <c r="BF35" s="349" t="n"/>
      <c r="BG35" s="349" t="n"/>
      <c r="BH35" s="350">
        <f>SUM(E35:BG35)</f>
        <v/>
      </c>
    </row>
    <row r="36" ht="13.9" customFormat="1" customHeight="1" s="54">
      <c r="A36" s="48">
        <f>A35+1</f>
        <v/>
      </c>
      <c r="B36" s="277" t="inlineStr">
        <is>
          <t>Paulo Roberto dos Santos</t>
        </is>
      </c>
      <c r="C36" s="257" t="n"/>
      <c r="D36" s="255" t="n"/>
      <c r="E36" s="349">
        <f>19230.87+2884.53</f>
        <v/>
      </c>
      <c r="F36" s="349">
        <f>19230.87+2884.53</f>
        <v/>
      </c>
      <c r="G36" s="349">
        <f>19230.87+2884.53</f>
        <v/>
      </c>
      <c r="H36" s="349">
        <f>19230.87+2884.53</f>
        <v/>
      </c>
      <c r="I36" s="349">
        <f>19230.87+2884.53</f>
        <v/>
      </c>
      <c r="J36" s="349">
        <f>19230.87+2884.53</f>
        <v/>
      </c>
      <c r="K36" s="349">
        <f>19230.87+2884.53</f>
        <v/>
      </c>
      <c r="L36" s="349">
        <f>19230.87+2884.53</f>
        <v/>
      </c>
      <c r="M36" s="349">
        <f>19230.87+2884.53</f>
        <v/>
      </c>
      <c r="N36" s="349" t="n"/>
      <c r="O36" s="349" t="n"/>
      <c r="P36" s="349" t="n"/>
      <c r="Q36" s="349" t="n"/>
      <c r="R36" s="349" t="n"/>
      <c r="S36" s="349" t="n"/>
      <c r="T36" s="349" t="n"/>
      <c r="U36" s="349" t="n"/>
      <c r="V36" s="349" t="n"/>
      <c r="W36" s="349" t="n"/>
      <c r="X36" s="349" t="n"/>
      <c r="Y36" s="349" t="n"/>
      <c r="Z36" s="349" t="n"/>
      <c r="AA36" s="349" t="n"/>
      <c r="AB36" s="349" t="n"/>
      <c r="AC36" s="349" t="n"/>
      <c r="AD36" s="349" t="n"/>
      <c r="AE36" s="349" t="n"/>
      <c r="AF36" s="349" t="n"/>
      <c r="AG36" s="349" t="n"/>
      <c r="AH36" s="349" t="n"/>
      <c r="AI36" s="349" t="n"/>
      <c r="AJ36" s="349" t="n"/>
      <c r="AK36" s="349" t="n"/>
      <c r="AL36" s="349" t="n"/>
      <c r="AM36" s="349" t="n"/>
      <c r="AN36" s="349" t="n"/>
      <c r="AO36" s="349" t="n"/>
      <c r="AP36" s="349" t="n"/>
      <c r="AQ36" s="349" t="n"/>
      <c r="AR36" s="349" t="n"/>
      <c r="AS36" s="349" t="n"/>
      <c r="AT36" s="349" t="n"/>
      <c r="AU36" s="349" t="n"/>
      <c r="AV36" s="349" t="n"/>
      <c r="AW36" s="349" t="n"/>
      <c r="AX36" s="349" t="n"/>
      <c r="AY36" s="349" t="n"/>
      <c r="AZ36" s="349" t="n"/>
      <c r="BA36" s="349" t="n"/>
      <c r="BB36" s="349" t="n"/>
      <c r="BC36" s="349" t="n"/>
      <c r="BD36" s="349" t="n"/>
      <c r="BE36" s="349" t="n"/>
      <c r="BF36" s="349" t="n"/>
      <c r="BG36" s="349" t="n"/>
      <c r="BH36" s="350">
        <f>SUM(E36:BG36)</f>
        <v/>
      </c>
    </row>
    <row r="37" ht="13.9" customFormat="1" customHeight="1" s="54">
      <c r="A37" s="48">
        <f>A36+1</f>
        <v/>
      </c>
      <c r="B37" s="277" t="inlineStr">
        <is>
          <t>Priscila Lammel</t>
        </is>
      </c>
      <c r="C37" s="257" t="n"/>
      <c r="D37" s="255" t="n"/>
      <c r="E37" s="349">
        <f>8295.01+497.7</f>
        <v/>
      </c>
      <c r="F37" s="349">
        <f>8295.01+497.7</f>
        <v/>
      </c>
      <c r="G37" s="349">
        <f>8295.01+497.7</f>
        <v/>
      </c>
      <c r="H37" s="349">
        <f>8295.01+497.7</f>
        <v/>
      </c>
      <c r="I37" s="349">
        <f>8295.01+497.7</f>
        <v/>
      </c>
      <c r="J37" s="349">
        <f>8295.01+497.7</f>
        <v/>
      </c>
      <c r="K37" s="349">
        <f>8295.01+497.7</f>
        <v/>
      </c>
      <c r="L37" s="349">
        <f>8295.01+497.7</f>
        <v/>
      </c>
      <c r="M37" s="349">
        <f>8295.01+497.7</f>
        <v/>
      </c>
      <c r="N37" s="349" t="n"/>
      <c r="O37" s="349" t="n"/>
      <c r="P37" s="349" t="n"/>
      <c r="Q37" s="349" t="n"/>
      <c r="R37" s="349" t="n"/>
      <c r="S37" s="349" t="n"/>
      <c r="T37" s="349" t="n"/>
      <c r="U37" s="349" t="n"/>
      <c r="V37" s="349" t="n"/>
      <c r="W37" s="349" t="n"/>
      <c r="X37" s="349" t="n"/>
      <c r="Y37" s="349" t="n"/>
      <c r="Z37" s="349" t="n"/>
      <c r="AA37" s="349" t="n"/>
      <c r="AB37" s="349" t="n"/>
      <c r="AC37" s="349" t="n"/>
      <c r="AD37" s="349" t="n"/>
      <c r="AE37" s="349" t="n"/>
      <c r="AF37" s="349" t="n"/>
      <c r="AG37" s="349" t="n"/>
      <c r="AH37" s="349" t="n"/>
      <c r="AI37" s="349" t="n"/>
      <c r="AJ37" s="349" t="n"/>
      <c r="AK37" s="349" t="n"/>
      <c r="AL37" s="349" t="n"/>
      <c r="AM37" s="349" t="n"/>
      <c r="AN37" s="349" t="n"/>
      <c r="AO37" s="349" t="n"/>
      <c r="AP37" s="349" t="n"/>
      <c r="AQ37" s="349" t="n"/>
      <c r="AR37" s="349" t="n"/>
      <c r="AS37" s="349" t="n"/>
      <c r="AT37" s="349" t="n"/>
      <c r="AU37" s="349" t="n"/>
      <c r="AV37" s="349" t="n"/>
      <c r="AW37" s="349" t="n"/>
      <c r="AX37" s="349" t="n"/>
      <c r="AY37" s="349" t="n"/>
      <c r="AZ37" s="349" t="n"/>
      <c r="BA37" s="349" t="n"/>
      <c r="BB37" s="349" t="n"/>
      <c r="BC37" s="349" t="n"/>
      <c r="BD37" s="349" t="n"/>
      <c r="BE37" s="349" t="n"/>
      <c r="BF37" s="349" t="n"/>
      <c r="BG37" s="349" t="n"/>
      <c r="BH37" s="350">
        <f>SUM(E37:BG37)</f>
        <v/>
      </c>
    </row>
    <row r="38" ht="13.9" customFormat="1" customHeight="1" s="54">
      <c r="A38" s="48">
        <f>A37+1</f>
        <v/>
      </c>
      <c r="B38" s="277" t="inlineStr">
        <is>
          <t>Rafael Cardoso Cunha</t>
        </is>
      </c>
      <c r="C38" s="257" t="n"/>
      <c r="D38" s="255" t="n"/>
      <c r="E38" s="349">
        <f>18873.4+1698.61</f>
        <v/>
      </c>
      <c r="F38" s="349">
        <f>18873.4+1698.61</f>
        <v/>
      </c>
      <c r="G38" s="349">
        <f>18873.4+1698.61</f>
        <v/>
      </c>
      <c r="H38" s="349">
        <f>18873.4+1698.61</f>
        <v/>
      </c>
      <c r="I38" s="349">
        <f>18873.4+1698.61</f>
        <v/>
      </c>
      <c r="J38" s="349">
        <f>18873.4+1698.61</f>
        <v/>
      </c>
      <c r="K38" s="349">
        <f>18873.4+1698.61</f>
        <v/>
      </c>
      <c r="L38" s="349">
        <f>18873.4+1698.61</f>
        <v/>
      </c>
      <c r="M38" s="349">
        <f>18873.4+1698.61</f>
        <v/>
      </c>
      <c r="N38" s="349">
        <f>M38*1.05</f>
        <v/>
      </c>
      <c r="O38" s="349">
        <f>N38</f>
        <v/>
      </c>
      <c r="P38" s="349">
        <f>O38</f>
        <v/>
      </c>
      <c r="Q38" s="349">
        <f>P38</f>
        <v/>
      </c>
      <c r="R38" s="349">
        <f>Q38</f>
        <v/>
      </c>
      <c r="S38" s="349">
        <f>R38</f>
        <v/>
      </c>
      <c r="T38" s="349">
        <f>S38</f>
        <v/>
      </c>
      <c r="U38" s="349">
        <f>T38</f>
        <v/>
      </c>
      <c r="V38" s="349">
        <f>U38</f>
        <v/>
      </c>
      <c r="W38" s="349">
        <f>V38</f>
        <v/>
      </c>
      <c r="X38" s="349">
        <f>W38</f>
        <v/>
      </c>
      <c r="Y38" s="349">
        <f>X38</f>
        <v/>
      </c>
      <c r="Z38" s="349">
        <f>Y38*1.05</f>
        <v/>
      </c>
      <c r="AA38" s="349">
        <f>Z38</f>
        <v/>
      </c>
      <c r="AB38" s="349">
        <f>AA38</f>
        <v/>
      </c>
      <c r="AC38" s="349">
        <f>AB38</f>
        <v/>
      </c>
      <c r="AD38" s="349">
        <f>AC38</f>
        <v/>
      </c>
      <c r="AE38" s="349">
        <f>AD38</f>
        <v/>
      </c>
      <c r="AF38" s="349">
        <f>AE38</f>
        <v/>
      </c>
      <c r="AG38" s="349">
        <f>AF38</f>
        <v/>
      </c>
      <c r="AH38" s="349">
        <f>AG38</f>
        <v/>
      </c>
      <c r="AI38" s="349">
        <f>AH38</f>
        <v/>
      </c>
      <c r="AJ38" s="349">
        <f>AI38</f>
        <v/>
      </c>
      <c r="AK38" s="349">
        <f>AJ38</f>
        <v/>
      </c>
      <c r="AL38" s="349" t="n"/>
      <c r="AM38" s="349" t="n"/>
      <c r="AN38" s="349" t="n"/>
      <c r="AO38" s="349" t="n"/>
      <c r="AP38" s="349" t="n"/>
      <c r="AQ38" s="349" t="n"/>
      <c r="AR38" s="349" t="n"/>
      <c r="AS38" s="349" t="n"/>
      <c r="AT38" s="349" t="n"/>
      <c r="AU38" s="349" t="n"/>
      <c r="AV38" s="349" t="n"/>
      <c r="AW38" s="349" t="n"/>
      <c r="AX38" s="349" t="n"/>
      <c r="AY38" s="349" t="n"/>
      <c r="AZ38" s="349" t="n"/>
      <c r="BA38" s="349" t="n"/>
      <c r="BB38" s="349" t="n"/>
      <c r="BC38" s="349" t="n"/>
      <c r="BD38" s="349" t="n"/>
      <c r="BE38" s="349" t="n"/>
      <c r="BF38" s="349" t="n"/>
      <c r="BG38" s="349" t="n"/>
      <c r="BH38" s="350">
        <f>SUM(E38:BG38)</f>
        <v/>
      </c>
    </row>
    <row r="39" ht="13.9" customFormat="1" customHeight="1" s="54">
      <c r="A39" s="48">
        <f>A38+1</f>
        <v/>
      </c>
      <c r="B39" s="277" t="inlineStr">
        <is>
          <t>Rafael Cassimiro Barbosa</t>
        </is>
      </c>
      <c r="C39" s="257" t="n"/>
      <c r="D39" s="255" t="n"/>
      <c r="E39" s="349">
        <f>11709.19+351.28</f>
        <v/>
      </c>
      <c r="F39" s="349">
        <f>11709.19+351.28</f>
        <v/>
      </c>
      <c r="G39" s="349">
        <f>11709.19+351.28</f>
        <v/>
      </c>
      <c r="H39" s="349">
        <f>11709.19+351.28</f>
        <v/>
      </c>
      <c r="I39" s="349">
        <f>11709.19+351.28</f>
        <v/>
      </c>
      <c r="J39" s="349">
        <f>11709.19+351.28</f>
        <v/>
      </c>
      <c r="K39" s="349">
        <f>11709.19+351.28</f>
        <v/>
      </c>
      <c r="L39" s="349">
        <f>11709.19+351.28</f>
        <v/>
      </c>
      <c r="M39" s="349">
        <f>11709.19+351.28</f>
        <v/>
      </c>
      <c r="N39" s="349">
        <f>M39*1.05</f>
        <v/>
      </c>
      <c r="O39" s="349">
        <f>N39</f>
        <v/>
      </c>
      <c r="P39" s="349">
        <f>O39</f>
        <v/>
      </c>
      <c r="Q39" s="349">
        <f>P39</f>
        <v/>
      </c>
      <c r="R39" s="349">
        <f>Q39</f>
        <v/>
      </c>
      <c r="S39" s="349">
        <f>R39</f>
        <v/>
      </c>
      <c r="T39" s="349">
        <f>S39</f>
        <v/>
      </c>
      <c r="U39" s="349">
        <f>T39</f>
        <v/>
      </c>
      <c r="V39" s="349">
        <f>U39</f>
        <v/>
      </c>
      <c r="W39" s="349">
        <f>V39</f>
        <v/>
      </c>
      <c r="X39" s="349">
        <f>W39</f>
        <v/>
      </c>
      <c r="Y39" s="349">
        <f>X39</f>
        <v/>
      </c>
      <c r="Z39" s="349">
        <f>Y39*1.05</f>
        <v/>
      </c>
      <c r="AA39" s="349">
        <f>Z39</f>
        <v/>
      </c>
      <c r="AB39" s="349">
        <f>AA39</f>
        <v/>
      </c>
      <c r="AC39" s="349">
        <f>AB39</f>
        <v/>
      </c>
      <c r="AD39" s="349">
        <f>AC39</f>
        <v/>
      </c>
      <c r="AE39" s="349">
        <f>AD39</f>
        <v/>
      </c>
      <c r="AF39" s="349">
        <f>AE39</f>
        <v/>
      </c>
      <c r="AG39" s="349">
        <f>AF39</f>
        <v/>
      </c>
      <c r="AH39" s="349">
        <f>AG39</f>
        <v/>
      </c>
      <c r="AI39" s="349">
        <f>AH39</f>
        <v/>
      </c>
      <c r="AJ39" s="349">
        <f>AI39</f>
        <v/>
      </c>
      <c r="AK39" s="349">
        <f>AJ39</f>
        <v/>
      </c>
      <c r="AL39" s="349">
        <f>AK39*1.05</f>
        <v/>
      </c>
      <c r="AM39" s="349">
        <f>AL39</f>
        <v/>
      </c>
      <c r="AN39" s="349">
        <f>AM39</f>
        <v/>
      </c>
      <c r="AO39" s="349">
        <f>AN39</f>
        <v/>
      </c>
      <c r="AP39" s="349">
        <f>AO39</f>
        <v/>
      </c>
      <c r="AQ39" s="349">
        <f>AP39</f>
        <v/>
      </c>
      <c r="AR39" s="349">
        <f>AQ39</f>
        <v/>
      </c>
      <c r="AS39" s="349">
        <f>AR39</f>
        <v/>
      </c>
      <c r="AT39" s="349">
        <f>AS39</f>
        <v/>
      </c>
      <c r="AU39" s="349">
        <f>AT39</f>
        <v/>
      </c>
      <c r="AV39" s="349">
        <f>AU39</f>
        <v/>
      </c>
      <c r="AW39" s="349">
        <f>AV39</f>
        <v/>
      </c>
      <c r="AX39" s="349" t="n"/>
      <c r="AY39" s="349" t="n"/>
      <c r="AZ39" s="349" t="n"/>
      <c r="BA39" s="349" t="n"/>
      <c r="BB39" s="349" t="n"/>
      <c r="BC39" s="349" t="n"/>
      <c r="BD39" s="349" t="n"/>
      <c r="BE39" s="349" t="n"/>
      <c r="BF39" s="349" t="n"/>
      <c r="BG39" s="349" t="n"/>
      <c r="BH39" s="350">
        <f>SUM(E39:BG39)</f>
        <v/>
      </c>
    </row>
    <row r="40" ht="13.9" customFormat="1" customHeight="1" s="54">
      <c r="A40" s="48">
        <f>A39+1</f>
        <v/>
      </c>
      <c r="B40" s="277" t="inlineStr">
        <is>
          <t>Renata Alcantara Lima</t>
        </is>
      </c>
      <c r="C40" s="257" t="n"/>
      <c r="D40" s="255" t="n"/>
      <c r="E40" s="349">
        <f>11709.19</f>
        <v/>
      </c>
      <c r="F40" s="349">
        <f>11709.19</f>
        <v/>
      </c>
      <c r="G40" s="349">
        <f>11709.19</f>
        <v/>
      </c>
      <c r="H40" s="349">
        <f>11709.19</f>
        <v/>
      </c>
      <c r="I40" s="349">
        <f>11709.19</f>
        <v/>
      </c>
      <c r="J40" s="349">
        <f>11709.19</f>
        <v/>
      </c>
      <c r="K40" s="349">
        <f>11709.19</f>
        <v/>
      </c>
      <c r="L40" s="349">
        <f>11709.19</f>
        <v/>
      </c>
      <c r="M40" s="349">
        <f>11709.19</f>
        <v/>
      </c>
      <c r="N40" s="349">
        <f>M40*1.05</f>
        <v/>
      </c>
      <c r="O40" s="349">
        <f>N40</f>
        <v/>
      </c>
      <c r="P40" s="349">
        <f>O40</f>
        <v/>
      </c>
      <c r="Q40" s="349">
        <f>P40</f>
        <v/>
      </c>
      <c r="R40" s="349">
        <f>Q40</f>
        <v/>
      </c>
      <c r="S40" s="349">
        <f>R40</f>
        <v/>
      </c>
      <c r="T40" s="349">
        <f>S40</f>
        <v/>
      </c>
      <c r="U40" s="349">
        <f>T40</f>
        <v/>
      </c>
      <c r="V40" s="349">
        <f>U40</f>
        <v/>
      </c>
      <c r="W40" s="349">
        <f>V40</f>
        <v/>
      </c>
      <c r="X40" s="349">
        <f>W40</f>
        <v/>
      </c>
      <c r="Y40" s="349">
        <f>X40</f>
        <v/>
      </c>
      <c r="Z40" s="349">
        <f>Y40*1.05</f>
        <v/>
      </c>
      <c r="AA40" s="349">
        <f>Z40</f>
        <v/>
      </c>
      <c r="AB40" s="349">
        <f>AA40</f>
        <v/>
      </c>
      <c r="AC40" s="349">
        <f>AB40</f>
        <v/>
      </c>
      <c r="AD40" s="349">
        <f>AC40</f>
        <v/>
      </c>
      <c r="AE40" s="349">
        <f>AD40</f>
        <v/>
      </c>
      <c r="AF40" s="349">
        <f>AE40</f>
        <v/>
      </c>
      <c r="AG40" s="349">
        <f>AF40</f>
        <v/>
      </c>
      <c r="AH40" s="349">
        <f>AG40</f>
        <v/>
      </c>
      <c r="AI40" s="349">
        <f>AH40</f>
        <v/>
      </c>
      <c r="AJ40" s="349">
        <f>AI40</f>
        <v/>
      </c>
      <c r="AK40" s="349">
        <f>AJ40</f>
        <v/>
      </c>
      <c r="AL40" s="349">
        <f>AK40*1.05</f>
        <v/>
      </c>
      <c r="AM40" s="349">
        <f>AL40</f>
        <v/>
      </c>
      <c r="AN40" s="349">
        <f>AM40</f>
        <v/>
      </c>
      <c r="AO40" s="349">
        <f>AN40</f>
        <v/>
      </c>
      <c r="AP40" s="349">
        <f>AO40</f>
        <v/>
      </c>
      <c r="AQ40" s="349">
        <f>AP40</f>
        <v/>
      </c>
      <c r="AR40" s="349">
        <f>AQ40</f>
        <v/>
      </c>
      <c r="AS40" s="349">
        <f>AR40</f>
        <v/>
      </c>
      <c r="AT40" s="349">
        <f>AS40</f>
        <v/>
      </c>
      <c r="AU40" s="349">
        <f>AT40</f>
        <v/>
      </c>
      <c r="AV40" s="349">
        <f>AU40</f>
        <v/>
      </c>
      <c r="AW40" s="349">
        <f>AV40</f>
        <v/>
      </c>
      <c r="AX40" s="349" t="n"/>
      <c r="AY40" s="349" t="n"/>
      <c r="AZ40" s="349" t="n"/>
      <c r="BA40" s="349" t="n"/>
      <c r="BB40" s="349" t="n"/>
      <c r="BC40" s="349" t="n"/>
      <c r="BD40" s="349" t="n"/>
      <c r="BE40" s="349" t="n"/>
      <c r="BF40" s="349" t="n"/>
      <c r="BG40" s="349" t="n"/>
      <c r="BH40" s="350">
        <f>SUM(E40:BG40)</f>
        <v/>
      </c>
    </row>
    <row r="41" ht="13.9" customFormat="1" customHeight="1" s="54">
      <c r="A41" s="48">
        <f>A40+1</f>
        <v/>
      </c>
      <c r="B41" s="277" t="inlineStr">
        <is>
          <t>Rildo Ap. F. Andrade</t>
        </is>
      </c>
      <c r="C41" s="257" t="n"/>
      <c r="D41" s="255" t="n"/>
      <c r="E41" s="349">
        <f>26035.63+3905.34</f>
        <v/>
      </c>
      <c r="F41" s="349">
        <f>26035.63+3905.34</f>
        <v/>
      </c>
      <c r="G41" s="349">
        <f>26035.63+3905.34</f>
        <v/>
      </c>
      <c r="H41" s="349">
        <f>26035.63+3905.34</f>
        <v/>
      </c>
      <c r="I41" s="349">
        <f>26035.63+3905.34</f>
        <v/>
      </c>
      <c r="J41" s="349">
        <f>26035.63+3905.34</f>
        <v/>
      </c>
      <c r="K41" s="349">
        <f>26035.63+3905.34</f>
        <v/>
      </c>
      <c r="L41" s="349">
        <f>26035.63+3905.34</f>
        <v/>
      </c>
      <c r="M41" s="349">
        <f>26035.63+3905.34</f>
        <v/>
      </c>
      <c r="N41" s="349" t="n"/>
      <c r="O41" s="349" t="n"/>
      <c r="P41" s="349" t="n"/>
      <c r="Q41" s="349" t="n"/>
      <c r="R41" s="349" t="n"/>
      <c r="S41" s="349" t="n"/>
      <c r="T41" s="349" t="n"/>
      <c r="U41" s="349" t="n"/>
      <c r="V41" s="349" t="n"/>
      <c r="W41" s="349" t="n"/>
      <c r="X41" s="349" t="n"/>
      <c r="Y41" s="349" t="n"/>
      <c r="Z41" s="349" t="n"/>
      <c r="AA41" s="349" t="n"/>
      <c r="AB41" s="349" t="n"/>
      <c r="AC41" s="349" t="n"/>
      <c r="AD41" s="349" t="n"/>
      <c r="AE41" s="349" t="n"/>
      <c r="AF41" s="349" t="n"/>
      <c r="AG41" s="349" t="n"/>
      <c r="AH41" s="349" t="n"/>
      <c r="AI41" s="349" t="n"/>
      <c r="AJ41" s="349" t="n"/>
      <c r="AK41" s="349" t="n"/>
      <c r="AL41" s="349" t="n"/>
      <c r="AM41" s="349" t="n"/>
      <c r="AN41" s="349" t="n"/>
      <c r="AO41" s="349" t="n"/>
      <c r="AP41" s="349" t="n"/>
      <c r="AQ41" s="349" t="n"/>
      <c r="AR41" s="349" t="n"/>
      <c r="AS41" s="349" t="n"/>
      <c r="AT41" s="349" t="n"/>
      <c r="AU41" s="349" t="n"/>
      <c r="AV41" s="349" t="n"/>
      <c r="AW41" s="349" t="n"/>
      <c r="AX41" s="349" t="n"/>
      <c r="AY41" s="349" t="n"/>
      <c r="AZ41" s="349" t="n"/>
      <c r="BA41" s="349" t="n"/>
      <c r="BB41" s="349" t="n"/>
      <c r="BC41" s="349" t="n"/>
      <c r="BD41" s="349" t="n"/>
      <c r="BE41" s="349" t="n"/>
      <c r="BF41" s="349" t="n"/>
      <c r="BG41" s="349" t="n"/>
      <c r="BH41" s="350">
        <f>SUM(E41:BG41)</f>
        <v/>
      </c>
    </row>
    <row r="42" ht="13.9" customFormat="1" customHeight="1" s="54">
      <c r="A42" s="48">
        <f>A41+1</f>
        <v/>
      </c>
      <c r="B42" s="277" t="inlineStr">
        <is>
          <t>Rodrigo Varella</t>
        </is>
      </c>
      <c r="C42" s="257" t="n"/>
      <c r="D42" s="255" t="n"/>
      <c r="E42" s="349">
        <f>13050.82+783.05</f>
        <v/>
      </c>
      <c r="F42" s="349">
        <f>13050.82+783.05</f>
        <v/>
      </c>
      <c r="G42" s="349">
        <f>13050.82+783.05</f>
        <v/>
      </c>
      <c r="H42" s="349">
        <f>13050.82+783.05</f>
        <v/>
      </c>
      <c r="I42" s="349">
        <f>13050.82+783.05</f>
        <v/>
      </c>
      <c r="J42" s="349">
        <f>13050.82+783.05</f>
        <v/>
      </c>
      <c r="K42" s="349">
        <f>13050.82+783.05</f>
        <v/>
      </c>
      <c r="L42" s="349">
        <f>13050.82+783.05</f>
        <v/>
      </c>
      <c r="M42" s="349">
        <f>13050.82+783.05</f>
        <v/>
      </c>
      <c r="N42" s="349">
        <f>M42*1.05</f>
        <v/>
      </c>
      <c r="O42" s="349">
        <f>N42</f>
        <v/>
      </c>
      <c r="P42" s="349">
        <f>O42</f>
        <v/>
      </c>
      <c r="Q42" s="349">
        <f>P42</f>
        <v/>
      </c>
      <c r="R42" s="349">
        <f>Q42</f>
        <v/>
      </c>
      <c r="S42" s="349">
        <f>R42</f>
        <v/>
      </c>
      <c r="T42" s="349">
        <f>S42</f>
        <v/>
      </c>
      <c r="U42" s="349">
        <f>T42</f>
        <v/>
      </c>
      <c r="V42" s="349">
        <f>U42</f>
        <v/>
      </c>
      <c r="W42" s="349">
        <f>V42</f>
        <v/>
      </c>
      <c r="X42" s="349">
        <f>W42</f>
        <v/>
      </c>
      <c r="Y42" s="349">
        <f>X42</f>
        <v/>
      </c>
      <c r="Z42" s="349">
        <f>Y42*1.05</f>
        <v/>
      </c>
      <c r="AA42" s="349">
        <f>Z42</f>
        <v/>
      </c>
      <c r="AB42" s="349">
        <f>AA42</f>
        <v/>
      </c>
      <c r="AC42" s="349">
        <f>AB42</f>
        <v/>
      </c>
      <c r="AD42" s="349">
        <f>AC42</f>
        <v/>
      </c>
      <c r="AE42" s="349">
        <f>AD42</f>
        <v/>
      </c>
      <c r="AF42" s="349">
        <f>AE42</f>
        <v/>
      </c>
      <c r="AG42" s="349">
        <f>AF42</f>
        <v/>
      </c>
      <c r="AH42" s="349">
        <f>AG42</f>
        <v/>
      </c>
      <c r="AI42" s="349">
        <f>AH42</f>
        <v/>
      </c>
      <c r="AJ42" s="349">
        <f>AI42</f>
        <v/>
      </c>
      <c r="AK42" s="349">
        <f>AJ42</f>
        <v/>
      </c>
      <c r="AL42" s="349">
        <f>AK42*1.05</f>
        <v/>
      </c>
      <c r="AM42" s="349">
        <f>AL42</f>
        <v/>
      </c>
      <c r="AN42" s="349">
        <f>AM42</f>
        <v/>
      </c>
      <c r="AO42" s="349">
        <f>AN42</f>
        <v/>
      </c>
      <c r="AP42" s="349">
        <f>AO42</f>
        <v/>
      </c>
      <c r="AQ42" s="349">
        <f>AP42</f>
        <v/>
      </c>
      <c r="AR42" s="349">
        <f>AQ42</f>
        <v/>
      </c>
      <c r="AS42" s="349">
        <f>AR42</f>
        <v/>
      </c>
      <c r="AT42" s="349">
        <f>AS42</f>
        <v/>
      </c>
      <c r="AU42" s="349">
        <f>AT42</f>
        <v/>
      </c>
      <c r="AV42" s="349">
        <f>AU42</f>
        <v/>
      </c>
      <c r="AW42" s="349">
        <f>AV42</f>
        <v/>
      </c>
      <c r="AX42" s="349" t="n"/>
      <c r="AY42" s="349" t="n"/>
      <c r="AZ42" s="349" t="n"/>
      <c r="BA42" s="349" t="n"/>
      <c r="BB42" s="349" t="n"/>
      <c r="BC42" s="349" t="n"/>
      <c r="BD42" s="349" t="n"/>
      <c r="BE42" s="349" t="n"/>
      <c r="BF42" s="349" t="n"/>
      <c r="BG42" s="349" t="n"/>
      <c r="BH42" s="350">
        <f>SUM(E42:BG42)</f>
        <v/>
      </c>
      <c r="CM42" s="385" t="n"/>
    </row>
    <row r="43" ht="13.9" customFormat="1" customHeight="1" s="54">
      <c r="A43" s="48">
        <f>A42+1</f>
        <v/>
      </c>
      <c r="B43" s="277" t="inlineStr">
        <is>
          <t>Sandréia Schmidt Silvano</t>
        </is>
      </c>
      <c r="C43" s="257" t="n"/>
      <c r="D43" s="255" t="n"/>
      <c r="E43" s="349">
        <f>21835.08+1704.16</f>
        <v/>
      </c>
      <c r="F43" s="349">
        <f>21835.08+1704.16</f>
        <v/>
      </c>
      <c r="G43" s="349">
        <f>21835.08+1704.16</f>
        <v/>
      </c>
      <c r="H43" s="349">
        <f>21835.08+1704.16</f>
        <v/>
      </c>
      <c r="I43" s="349">
        <f>21835.08+1704.16</f>
        <v/>
      </c>
      <c r="J43" s="349">
        <f>21835.08+1704.16</f>
        <v/>
      </c>
      <c r="K43" s="349">
        <f>21835.08+1704.16</f>
        <v/>
      </c>
      <c r="L43" s="349">
        <f>21835.08+1704.16</f>
        <v/>
      </c>
      <c r="M43" s="349">
        <f>21835.08+1704.16</f>
        <v/>
      </c>
      <c r="N43" s="349" t="n"/>
      <c r="O43" s="349" t="n"/>
      <c r="P43" s="349" t="n"/>
      <c r="Q43" s="349" t="n"/>
      <c r="R43" s="349" t="n"/>
      <c r="S43" s="349" t="n"/>
      <c r="T43" s="349" t="n"/>
      <c r="U43" s="349" t="n"/>
      <c r="V43" s="349" t="n"/>
      <c r="W43" s="349" t="n"/>
      <c r="X43" s="349" t="n"/>
      <c r="Y43" s="349" t="n"/>
      <c r="Z43" s="349" t="n"/>
      <c r="AA43" s="349" t="n"/>
      <c r="AB43" s="349" t="n"/>
      <c r="AC43" s="349" t="n"/>
      <c r="AD43" s="349" t="n"/>
      <c r="AE43" s="349" t="n"/>
      <c r="AF43" s="349" t="n"/>
      <c r="AG43" s="349" t="n"/>
      <c r="AH43" s="349" t="n"/>
      <c r="AI43" s="349" t="n"/>
      <c r="AJ43" s="349" t="n"/>
      <c r="AK43" s="349" t="n"/>
      <c r="AL43" s="349" t="n"/>
      <c r="AM43" s="349" t="n"/>
      <c r="AN43" s="349" t="n"/>
      <c r="AO43" s="349" t="n"/>
      <c r="AP43" s="349" t="n"/>
      <c r="AQ43" s="349" t="n"/>
      <c r="AR43" s="349" t="n"/>
      <c r="AS43" s="349" t="n"/>
      <c r="AT43" s="349" t="n"/>
      <c r="AU43" s="349" t="n"/>
      <c r="AV43" s="349" t="n"/>
      <c r="AW43" s="349" t="n"/>
      <c r="AX43" s="349" t="n"/>
      <c r="AY43" s="349" t="n"/>
      <c r="AZ43" s="349" t="n"/>
      <c r="BA43" s="349" t="n"/>
      <c r="BB43" s="349" t="n"/>
      <c r="BC43" s="349" t="n"/>
      <c r="BD43" s="349" t="n"/>
      <c r="BE43" s="349" t="n"/>
      <c r="BF43" s="349" t="n"/>
      <c r="BG43" s="349" t="n"/>
      <c r="BH43" s="350">
        <f>SUM(E43:BG43)</f>
        <v/>
      </c>
      <c r="CM43" s="385" t="n"/>
    </row>
    <row r="44" ht="13.9" customFormat="1" customHeight="1" s="54">
      <c r="A44" s="48">
        <f>A43+1</f>
        <v/>
      </c>
      <c r="B44" s="277" t="inlineStr">
        <is>
          <t>Sofia Souza</t>
        </is>
      </c>
      <c r="C44" s="257" t="n"/>
      <c r="D44" s="255" t="n"/>
      <c r="E44" s="349" t="n">
        <v>11709.19</v>
      </c>
      <c r="F44" s="349" t="n">
        <v>11709.19</v>
      </c>
      <c r="G44" s="349" t="n">
        <v>11709.19</v>
      </c>
      <c r="H44" s="349" t="n">
        <v>11709.19</v>
      </c>
      <c r="I44" s="349" t="n">
        <v>11709.19</v>
      </c>
      <c r="J44" s="349" t="n">
        <v>11709.19</v>
      </c>
      <c r="K44" s="349" t="n">
        <v>11709.19</v>
      </c>
      <c r="L44" s="349" t="n">
        <v>11709.19</v>
      </c>
      <c r="M44" s="349" t="n">
        <v>11709.19</v>
      </c>
      <c r="N44" s="349" t="n"/>
      <c r="O44" s="349" t="n"/>
      <c r="P44" s="349" t="n"/>
      <c r="Q44" s="349" t="n"/>
      <c r="R44" s="349" t="n"/>
      <c r="S44" s="349" t="n"/>
      <c r="T44" s="349" t="n"/>
      <c r="U44" s="349" t="n"/>
      <c r="V44" s="349" t="n"/>
      <c r="W44" s="349" t="n"/>
      <c r="X44" s="349" t="n"/>
      <c r="Y44" s="349" t="n"/>
      <c r="Z44" s="349" t="n"/>
      <c r="AA44" s="349" t="n"/>
      <c r="AB44" s="349" t="n"/>
      <c r="AC44" s="349" t="n"/>
      <c r="AD44" s="349" t="n"/>
      <c r="AE44" s="349" t="n"/>
      <c r="AF44" s="349" t="n"/>
      <c r="AG44" s="349" t="n"/>
      <c r="AH44" s="349" t="n"/>
      <c r="AI44" s="349" t="n"/>
      <c r="AJ44" s="349" t="n"/>
      <c r="AK44" s="349" t="n"/>
      <c r="AL44" s="349" t="n"/>
      <c r="AM44" s="349" t="n"/>
      <c r="AN44" s="349" t="n"/>
      <c r="AO44" s="349" t="n"/>
      <c r="AP44" s="349" t="n"/>
      <c r="AQ44" s="349" t="n"/>
      <c r="AR44" s="349" t="n"/>
      <c r="AS44" s="349" t="n"/>
      <c r="AT44" s="349" t="n"/>
      <c r="AU44" s="349" t="n"/>
      <c r="AV44" s="349" t="n"/>
      <c r="AW44" s="349" t="n"/>
      <c r="AX44" s="349" t="n"/>
      <c r="AY44" s="349" t="n"/>
      <c r="AZ44" s="349" t="n"/>
      <c r="BA44" s="349" t="n"/>
      <c r="BB44" s="349" t="n"/>
      <c r="BC44" s="349" t="n"/>
      <c r="BD44" s="349" t="n"/>
      <c r="BE44" s="349" t="n"/>
      <c r="BF44" s="349" t="n"/>
      <c r="BG44" s="349" t="n"/>
      <c r="BH44" s="350">
        <f>SUM(E44:BG44)</f>
        <v/>
      </c>
      <c r="CM44" s="385" t="n"/>
    </row>
    <row r="45" ht="13.9" customFormat="1" customHeight="1" s="54">
      <c r="A45" s="48">
        <f>A44+1</f>
        <v/>
      </c>
      <c r="B45" s="277" t="inlineStr">
        <is>
          <t>Wanderson Bruno Alcides de Morais e Silva</t>
        </is>
      </c>
      <c r="C45" s="257" t="n"/>
      <c r="D45" s="255" t="n"/>
      <c r="E45" s="349" t="n">
        <v>11709.19</v>
      </c>
      <c r="F45" s="349" t="n">
        <v>11709.19</v>
      </c>
      <c r="G45" s="349" t="n">
        <v>11709.19</v>
      </c>
      <c r="H45" s="349" t="n">
        <v>11709.19</v>
      </c>
      <c r="I45" s="349" t="n">
        <v>11709.19</v>
      </c>
      <c r="J45" s="349" t="n">
        <v>11709.19</v>
      </c>
      <c r="K45" s="349" t="n">
        <v>11709.19</v>
      </c>
      <c r="L45" s="349" t="n">
        <v>11709.19</v>
      </c>
      <c r="M45" s="349" t="n">
        <v>11709.19</v>
      </c>
      <c r="N45" s="349" t="n"/>
      <c r="O45" s="349" t="n"/>
      <c r="P45" s="349" t="n"/>
      <c r="Q45" s="349" t="n"/>
      <c r="R45" s="349" t="n"/>
      <c r="S45" s="349" t="n"/>
      <c r="T45" s="349" t="n"/>
      <c r="U45" s="349" t="n"/>
      <c r="V45" s="349" t="n"/>
      <c r="W45" s="349" t="n"/>
      <c r="X45" s="349" t="n"/>
      <c r="Y45" s="349" t="n"/>
      <c r="Z45" s="349" t="n"/>
      <c r="AA45" s="349" t="n"/>
      <c r="AB45" s="349" t="n"/>
      <c r="AC45" s="349" t="n"/>
      <c r="AD45" s="349" t="n"/>
      <c r="AE45" s="349" t="n"/>
      <c r="AF45" s="349" t="n"/>
      <c r="AG45" s="349" t="n"/>
      <c r="AH45" s="349" t="n"/>
      <c r="AI45" s="349" t="n"/>
      <c r="AJ45" s="349" t="n"/>
      <c r="AK45" s="349" t="n"/>
      <c r="AL45" s="349" t="n"/>
      <c r="AM45" s="349" t="n"/>
      <c r="AN45" s="349" t="n"/>
      <c r="AO45" s="349" t="n"/>
      <c r="AP45" s="349" t="n"/>
      <c r="AQ45" s="349" t="n"/>
      <c r="AR45" s="349" t="n"/>
      <c r="AS45" s="349" t="n"/>
      <c r="AT45" s="349" t="n"/>
      <c r="AU45" s="349" t="n"/>
      <c r="AV45" s="349" t="n"/>
      <c r="AW45" s="349" t="n"/>
      <c r="AX45" s="349" t="n"/>
      <c r="AY45" s="349" t="n"/>
      <c r="AZ45" s="349" t="n"/>
      <c r="BA45" s="349" t="n"/>
      <c r="BB45" s="349" t="n"/>
      <c r="BC45" s="349" t="n"/>
      <c r="BD45" s="349" t="n"/>
      <c r="BE45" s="349" t="n"/>
      <c r="BF45" s="349" t="n"/>
      <c r="BG45" s="349" t="n"/>
      <c r="BH45" s="350">
        <f>SUM(E45:BG45)</f>
        <v/>
      </c>
      <c r="CM45" s="385" t="n"/>
    </row>
    <row r="46" ht="13.9" customFormat="1" customHeight="1" s="54">
      <c r="A46" s="48">
        <f>A45+1</f>
        <v/>
      </c>
      <c r="B46" s="277" t="inlineStr">
        <is>
          <t>Wesley Miranda de Carvalho</t>
        </is>
      </c>
      <c r="C46" s="257" t="n"/>
      <c r="D46" s="255" t="n"/>
      <c r="E46" s="349" t="n">
        <v>10755.17</v>
      </c>
      <c r="F46" s="349" t="n">
        <v>10756.17</v>
      </c>
      <c r="G46" s="349" t="n">
        <v>10757.17</v>
      </c>
      <c r="H46" s="349" t="n">
        <v>10758.17</v>
      </c>
      <c r="I46" s="349" t="n">
        <v>10759.17</v>
      </c>
      <c r="J46" s="349" t="n">
        <v>10760.17</v>
      </c>
      <c r="K46" s="349" t="n">
        <v>10761.17</v>
      </c>
      <c r="L46" s="349" t="n">
        <v>10762.17</v>
      </c>
      <c r="M46" s="349" t="n">
        <v>10763.17</v>
      </c>
      <c r="N46" s="349" t="n"/>
      <c r="O46" s="349" t="n"/>
      <c r="P46" s="349" t="n"/>
      <c r="Q46" s="349" t="n"/>
      <c r="R46" s="349" t="n"/>
      <c r="S46" s="349" t="n"/>
      <c r="T46" s="349" t="n"/>
      <c r="U46" s="349" t="n"/>
      <c r="V46" s="349" t="n"/>
      <c r="W46" s="349" t="n"/>
      <c r="X46" s="349" t="n"/>
      <c r="Y46" s="349" t="n"/>
      <c r="Z46" s="349" t="n"/>
      <c r="AA46" s="349" t="n"/>
      <c r="AB46" s="349" t="n"/>
      <c r="AC46" s="349" t="n"/>
      <c r="AD46" s="349" t="n"/>
      <c r="AE46" s="349" t="n"/>
      <c r="AF46" s="349" t="n"/>
      <c r="AG46" s="349" t="n"/>
      <c r="AH46" s="349" t="n"/>
      <c r="AI46" s="349" t="n"/>
      <c r="AJ46" s="349" t="n"/>
      <c r="AK46" s="349" t="n"/>
      <c r="AL46" s="349" t="n"/>
      <c r="AM46" s="349" t="n"/>
      <c r="AN46" s="349" t="n"/>
      <c r="AO46" s="349" t="n"/>
      <c r="AP46" s="349" t="n"/>
      <c r="AQ46" s="349" t="n"/>
      <c r="AR46" s="349" t="n"/>
      <c r="AS46" s="349" t="n"/>
      <c r="AT46" s="349" t="n"/>
      <c r="AU46" s="349" t="n"/>
      <c r="AV46" s="349" t="n"/>
      <c r="AW46" s="349" t="n"/>
      <c r="AX46" s="349" t="n"/>
      <c r="AY46" s="349" t="n"/>
      <c r="AZ46" s="349" t="n"/>
      <c r="BA46" s="349" t="n"/>
      <c r="BB46" s="349" t="n"/>
      <c r="BC46" s="349" t="n"/>
      <c r="BD46" s="349" t="n"/>
      <c r="BE46" s="349" t="n"/>
      <c r="BF46" s="349" t="n"/>
      <c r="BG46" s="349" t="n"/>
      <c r="BH46" s="350">
        <f>SUM(E46:BG46)</f>
        <v/>
      </c>
      <c r="CM46" s="385" t="n"/>
    </row>
    <row r="47" ht="13.9" customHeight="1" s="276">
      <c r="A47" s="48">
        <f>A46+1</f>
        <v/>
      </c>
      <c r="B47" s="254" t="inlineStr">
        <is>
          <t>Encargos Trabalhistas</t>
        </is>
      </c>
      <c r="C47" s="257" t="n"/>
      <c r="D47" s="255" t="n"/>
      <c r="E47" s="351">
        <f>(SUM(E4:E41)*0.8)</f>
        <v/>
      </c>
      <c r="F47" s="351">
        <f>(SUM(F4:F41)*0.8)</f>
        <v/>
      </c>
      <c r="G47" s="351">
        <f>(SUM(G4:G41)*0.8)</f>
        <v/>
      </c>
      <c r="H47" s="351">
        <f>(SUM(H4:H41)*0.8)</f>
        <v/>
      </c>
      <c r="I47" s="351">
        <f>(SUM(I4:I41)*0.8)</f>
        <v/>
      </c>
      <c r="J47" s="351">
        <f>(SUM(J4:J41)*0.8)</f>
        <v/>
      </c>
      <c r="K47" s="351">
        <f>(SUM(K4:K41)*0.8)</f>
        <v/>
      </c>
      <c r="L47" s="351">
        <f>(SUM(L4:L41)*0.8)</f>
        <v/>
      </c>
      <c r="M47" s="351">
        <f>(SUM(M4:M41)*0.8)</f>
        <v/>
      </c>
      <c r="N47" s="351">
        <f>(SUM(N4:N41)*0.8)</f>
        <v/>
      </c>
      <c r="O47" s="351">
        <f>(SUM(O4:O41)*0.8)</f>
        <v/>
      </c>
      <c r="P47" s="351">
        <f>(SUM(P4:P41)*0.8)</f>
        <v/>
      </c>
      <c r="Q47" s="351">
        <f>(SUM(Q4:Q41)*0.8)</f>
        <v/>
      </c>
      <c r="R47" s="351">
        <f>(SUM(R4:R41)*0.8)</f>
        <v/>
      </c>
      <c r="S47" s="351">
        <f>(SUM(S4:S41)*0.8)</f>
        <v/>
      </c>
      <c r="T47" s="351">
        <f>(SUM(T4:T41)*0.8)</f>
        <v/>
      </c>
      <c r="U47" s="351">
        <f>(SUM(U4:U41)*0.8)</f>
        <v/>
      </c>
      <c r="V47" s="351">
        <f>(SUM(V4:V41)*0.8)</f>
        <v/>
      </c>
      <c r="W47" s="351">
        <f>(SUM(W4:W41)*0.8)</f>
        <v/>
      </c>
      <c r="X47" s="351">
        <f>(SUM(X4:X41)*0.8)</f>
        <v/>
      </c>
      <c r="Y47" s="351">
        <f>(SUM(Y4:Y41)*0.8)</f>
        <v/>
      </c>
      <c r="Z47" s="351">
        <f>(SUM(Z4:Z41)*0.8)</f>
        <v/>
      </c>
      <c r="AA47" s="351">
        <f>(SUM(AA4:AA41)*0.8)</f>
        <v/>
      </c>
      <c r="AB47" s="351">
        <f>(SUM(AB4:AB41)*0.8)</f>
        <v/>
      </c>
      <c r="AC47" s="351">
        <f>(SUM(AC4:AC41)*0.8)</f>
        <v/>
      </c>
      <c r="AD47" s="351">
        <f>(SUM(AD4:AD41)*0.8)</f>
        <v/>
      </c>
      <c r="AE47" s="351">
        <f>(SUM(AE4:AE41)*0.8)</f>
        <v/>
      </c>
      <c r="AF47" s="351">
        <f>(SUM(AF4:AF41)*0.8)</f>
        <v/>
      </c>
      <c r="AG47" s="351">
        <f>(SUM(AG4:AG41)*0.8)</f>
        <v/>
      </c>
      <c r="AH47" s="351">
        <f>(SUM(AH4:AH41)*0.8)</f>
        <v/>
      </c>
      <c r="AI47" s="351">
        <f>(SUM(AI4:AI41)*0.8)</f>
        <v/>
      </c>
      <c r="AJ47" s="351">
        <f>(SUM(AJ4:AJ41)*0.8)</f>
        <v/>
      </c>
      <c r="AK47" s="351">
        <f>(SUM(AK4:AK41)*0.8)</f>
        <v/>
      </c>
      <c r="AL47" s="351">
        <f>(SUM(AL4:AL41)*0.8)</f>
        <v/>
      </c>
      <c r="AM47" s="351">
        <f>(SUM(AM4:AM41)*0.8)</f>
        <v/>
      </c>
      <c r="AN47" s="351">
        <f>(SUM(AN4:AN41)*0.8)</f>
        <v/>
      </c>
      <c r="AO47" s="351">
        <f>(SUM(AO4:AO41)*0.8)</f>
        <v/>
      </c>
      <c r="AP47" s="351">
        <f>(SUM(AP4:AP41)*0.8)</f>
        <v/>
      </c>
      <c r="AQ47" s="351">
        <f>(SUM(AQ4:AQ41)*0.8)</f>
        <v/>
      </c>
      <c r="AR47" s="351">
        <f>(SUM(AR4:AR41)*0.8)</f>
        <v/>
      </c>
      <c r="AS47" s="351">
        <f>(SUM(AS4:AS41)*0.8)</f>
        <v/>
      </c>
      <c r="AT47" s="351">
        <f>(SUM(AT4:AT41)*0.8)</f>
        <v/>
      </c>
      <c r="AU47" s="351">
        <f>(SUM(AU4:AU41)*0.8)</f>
        <v/>
      </c>
      <c r="AV47" s="351">
        <f>(SUM(AV4:AV41)*0.8)</f>
        <v/>
      </c>
      <c r="AW47" s="351">
        <f>(SUM(AW4:AW41)*0.8)</f>
        <v/>
      </c>
      <c r="AX47" s="351" t="n"/>
      <c r="AY47" s="351" t="n"/>
      <c r="AZ47" s="351" t="n"/>
      <c r="BA47" s="351" t="n"/>
      <c r="BB47" s="351" t="n"/>
      <c r="BC47" s="351" t="n"/>
      <c r="BD47" s="351" t="n"/>
      <c r="BE47" s="351" t="n"/>
      <c r="BF47" s="351" t="n"/>
      <c r="BG47" s="351" t="n"/>
      <c r="BH47" s="350">
        <f>SUM(E47:BG47)</f>
        <v/>
      </c>
      <c r="CN47" s="47" t="n">
        <v>5236091</v>
      </c>
      <c r="CO47" s="352">
        <f>BH47-CN47</f>
        <v/>
      </c>
    </row>
    <row r="48" ht="13.9" customHeight="1" s="276">
      <c r="A48" s="48">
        <f>A47+1</f>
        <v/>
      </c>
      <c r="B48" s="277" t="inlineStr">
        <is>
          <t>Agatha Nascimento</t>
        </is>
      </c>
      <c r="C48" s="257" t="n"/>
      <c r="D48" s="255" t="n"/>
      <c r="E48" s="351" t="n">
        <v>1050</v>
      </c>
      <c r="F48" s="351" t="n">
        <v>1050</v>
      </c>
      <c r="G48" s="351" t="n">
        <v>1050</v>
      </c>
      <c r="H48" s="351" t="n">
        <v>1050</v>
      </c>
      <c r="I48" s="351" t="n">
        <v>1050</v>
      </c>
      <c r="J48" s="351" t="n">
        <v>1050</v>
      </c>
      <c r="K48" s="351" t="n">
        <v>1050</v>
      </c>
      <c r="L48" s="351" t="n">
        <v>1050</v>
      </c>
      <c r="M48" s="351" t="n">
        <v>1050</v>
      </c>
      <c r="N48" s="351" t="n"/>
      <c r="O48" s="351" t="n"/>
      <c r="P48" s="351" t="n"/>
      <c r="Q48" s="351" t="n"/>
      <c r="R48" s="351" t="n"/>
      <c r="S48" s="351" t="n"/>
      <c r="T48" s="351" t="n"/>
      <c r="U48" s="351" t="n"/>
      <c r="V48" s="351" t="n"/>
      <c r="W48" s="351" t="n"/>
      <c r="X48" s="351" t="n"/>
      <c r="Y48" s="351" t="n"/>
      <c r="Z48" s="351" t="n"/>
      <c r="AA48" s="351" t="n"/>
      <c r="AB48" s="351" t="n"/>
      <c r="AC48" s="351" t="n"/>
      <c r="AD48" s="351" t="n"/>
      <c r="AE48" s="351" t="n"/>
      <c r="AF48" s="351" t="n"/>
      <c r="AG48" s="351" t="n"/>
      <c r="AH48" s="351" t="n"/>
      <c r="AI48" s="351" t="n"/>
      <c r="AJ48" s="351" t="n"/>
      <c r="AK48" s="351" t="n"/>
      <c r="AL48" s="351" t="n"/>
      <c r="AM48" s="351" t="n"/>
      <c r="AN48" s="351" t="n"/>
      <c r="AO48" s="351" t="n"/>
      <c r="AP48" s="351" t="n"/>
      <c r="AQ48" s="351" t="n"/>
      <c r="AR48" s="351" t="n"/>
      <c r="AS48" s="351" t="n"/>
      <c r="AT48" s="351" t="n"/>
      <c r="AU48" s="351" t="n"/>
      <c r="AV48" s="351" t="n"/>
      <c r="AW48" s="351" t="n"/>
      <c r="AX48" s="351" t="n"/>
      <c r="AY48" s="351" t="n"/>
      <c r="AZ48" s="351" t="n"/>
      <c r="BA48" s="351" t="n"/>
      <c r="BB48" s="351" t="n"/>
      <c r="BC48" s="351" t="n"/>
      <c r="BD48" s="351" t="n"/>
      <c r="BE48" s="351" t="n"/>
      <c r="BF48" s="351" t="n"/>
      <c r="BG48" s="351" t="n"/>
      <c r="BH48" s="350">
        <f>SUM(E48:BG48)</f>
        <v/>
      </c>
      <c r="CO48" s="352" t="n"/>
    </row>
    <row r="49" ht="13.9" customHeight="1" s="276">
      <c r="A49" s="48">
        <f>A48+1</f>
        <v/>
      </c>
      <c r="B49" s="277" t="inlineStr">
        <is>
          <t>Amabille Buglione Peruch</t>
        </is>
      </c>
      <c r="C49" s="257" t="n"/>
      <c r="D49" s="255" t="n"/>
      <c r="E49" s="351" t="n">
        <v>1050</v>
      </c>
      <c r="F49" s="351" t="n">
        <v>1050</v>
      </c>
      <c r="G49" s="351" t="n">
        <v>1050</v>
      </c>
      <c r="H49" s="351" t="n">
        <v>1050</v>
      </c>
      <c r="I49" s="351" t="n">
        <v>1050</v>
      </c>
      <c r="J49" s="351" t="n">
        <v>1050</v>
      </c>
      <c r="K49" s="351" t="n">
        <v>1050</v>
      </c>
      <c r="L49" s="351" t="n">
        <v>1050</v>
      </c>
      <c r="M49" s="351" t="n">
        <v>1050</v>
      </c>
      <c r="N49" s="351" t="n"/>
      <c r="O49" s="351" t="n"/>
      <c r="P49" s="351" t="n"/>
      <c r="Q49" s="351" t="n"/>
      <c r="R49" s="351" t="n"/>
      <c r="S49" s="351" t="n"/>
      <c r="T49" s="351" t="n"/>
      <c r="U49" s="351" t="n"/>
      <c r="V49" s="351" t="n"/>
      <c r="W49" s="351" t="n"/>
      <c r="X49" s="351" t="n"/>
      <c r="Y49" s="351" t="n"/>
      <c r="Z49" s="351" t="n"/>
      <c r="AA49" s="351" t="n"/>
      <c r="AB49" s="351" t="n"/>
      <c r="AC49" s="351" t="n"/>
      <c r="AD49" s="351" t="n"/>
      <c r="AE49" s="351" t="n"/>
      <c r="AF49" s="351" t="n"/>
      <c r="AG49" s="351" t="n"/>
      <c r="AH49" s="351" t="n"/>
      <c r="AI49" s="351" t="n"/>
      <c r="AJ49" s="351" t="n"/>
      <c r="AK49" s="351" t="n"/>
      <c r="AL49" s="351" t="n"/>
      <c r="AM49" s="351" t="n"/>
      <c r="AN49" s="351" t="n"/>
      <c r="AO49" s="351" t="n"/>
      <c r="AP49" s="351" t="n"/>
      <c r="AQ49" s="351" t="n"/>
      <c r="AR49" s="351" t="n"/>
      <c r="AS49" s="351" t="n"/>
      <c r="AT49" s="351" t="n"/>
      <c r="AU49" s="351" t="n"/>
      <c r="AV49" s="351" t="n"/>
      <c r="AW49" s="351" t="n"/>
      <c r="AX49" s="351" t="n"/>
      <c r="AY49" s="351" t="n"/>
      <c r="AZ49" s="351" t="n"/>
      <c r="BA49" s="351" t="n"/>
      <c r="BB49" s="351" t="n"/>
      <c r="BC49" s="351" t="n"/>
      <c r="BD49" s="351" t="n"/>
      <c r="BE49" s="351" t="n"/>
      <c r="BF49" s="351" t="n"/>
      <c r="BG49" s="351" t="n"/>
      <c r="BH49" s="350">
        <f>SUM(E49:BG49)</f>
        <v/>
      </c>
      <c r="CO49" s="352" t="n"/>
    </row>
    <row r="50" ht="13.9" customHeight="1" s="276">
      <c r="A50" s="48">
        <f>A49+1</f>
        <v/>
      </c>
      <c r="B50" s="277" t="inlineStr">
        <is>
          <t>Ana Beatriz Silva Barreto</t>
        </is>
      </c>
      <c r="C50" s="257" t="n"/>
      <c r="D50" s="255" t="n"/>
      <c r="E50" s="351" t="n">
        <v>1050</v>
      </c>
      <c r="F50" s="351" t="n">
        <v>1050</v>
      </c>
      <c r="G50" s="351" t="n">
        <v>1050</v>
      </c>
      <c r="H50" s="351" t="n">
        <v>1050</v>
      </c>
      <c r="I50" s="351" t="n">
        <v>1050</v>
      </c>
      <c r="J50" s="351" t="n">
        <v>1050</v>
      </c>
      <c r="K50" s="351" t="n">
        <v>1050</v>
      </c>
      <c r="L50" s="351" t="n">
        <v>1050</v>
      </c>
      <c r="M50" s="351" t="n">
        <v>1050</v>
      </c>
      <c r="N50" s="351" t="n"/>
      <c r="O50" s="351" t="n"/>
      <c r="P50" s="351" t="n"/>
      <c r="Q50" s="351" t="n"/>
      <c r="R50" s="351" t="n"/>
      <c r="S50" s="351" t="n"/>
      <c r="T50" s="351" t="n"/>
      <c r="U50" s="351" t="n"/>
      <c r="V50" s="351" t="n"/>
      <c r="W50" s="351" t="n"/>
      <c r="X50" s="351" t="n"/>
      <c r="Y50" s="351" t="n"/>
      <c r="Z50" s="351" t="n"/>
      <c r="AA50" s="351" t="n"/>
      <c r="AB50" s="351" t="n"/>
      <c r="AC50" s="351" t="n"/>
      <c r="AD50" s="351" t="n"/>
      <c r="AE50" s="351" t="n"/>
      <c r="AF50" s="351" t="n"/>
      <c r="AG50" s="351" t="n"/>
      <c r="AH50" s="351" t="n"/>
      <c r="AI50" s="351" t="n"/>
      <c r="AJ50" s="351" t="n"/>
      <c r="AK50" s="351" t="n"/>
      <c r="AL50" s="351" t="n"/>
      <c r="AM50" s="351" t="n"/>
      <c r="AN50" s="351" t="n"/>
      <c r="AO50" s="351" t="n"/>
      <c r="AP50" s="351" t="n"/>
      <c r="AQ50" s="351" t="n"/>
      <c r="AR50" s="351" t="n"/>
      <c r="AS50" s="351" t="n"/>
      <c r="AT50" s="351" t="n"/>
      <c r="AU50" s="351" t="n"/>
      <c r="AV50" s="351" t="n"/>
      <c r="AW50" s="351" t="n"/>
      <c r="AX50" s="351" t="n"/>
      <c r="AY50" s="351" t="n"/>
      <c r="AZ50" s="351" t="n"/>
      <c r="BA50" s="351" t="n"/>
      <c r="BB50" s="351" t="n"/>
      <c r="BC50" s="351" t="n"/>
      <c r="BD50" s="351" t="n"/>
      <c r="BE50" s="351" t="n"/>
      <c r="BF50" s="351" t="n"/>
      <c r="BG50" s="351" t="n"/>
      <c r="BH50" s="350">
        <f>SUM(E50:BG50)</f>
        <v/>
      </c>
      <c r="CO50" s="352" t="n"/>
    </row>
    <row r="51" ht="13.9" customHeight="1" s="276">
      <c r="A51" s="48">
        <f>A50+1</f>
        <v/>
      </c>
      <c r="B51" s="277" t="inlineStr">
        <is>
          <t>Ana Júlia Luchezi Lazzari</t>
        </is>
      </c>
      <c r="C51" s="257" t="n"/>
      <c r="D51" s="255" t="n"/>
      <c r="E51" s="351" t="n">
        <v>1050</v>
      </c>
      <c r="F51" s="351" t="n">
        <v>1050</v>
      </c>
      <c r="G51" s="351" t="n">
        <v>1050</v>
      </c>
      <c r="H51" s="351" t="n">
        <v>1050</v>
      </c>
      <c r="I51" s="351" t="n">
        <v>1050</v>
      </c>
      <c r="J51" s="351" t="n">
        <v>1050</v>
      </c>
      <c r="K51" s="351" t="n">
        <v>1050</v>
      </c>
      <c r="L51" s="351" t="n">
        <v>1050</v>
      </c>
      <c r="M51" s="351" t="n">
        <v>1050</v>
      </c>
      <c r="N51" s="351" t="n"/>
      <c r="O51" s="351" t="n"/>
      <c r="P51" s="351" t="n"/>
      <c r="Q51" s="351" t="n"/>
      <c r="R51" s="351" t="n"/>
      <c r="S51" s="351" t="n"/>
      <c r="T51" s="351" t="n"/>
      <c r="U51" s="351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  <c r="AG51" s="351" t="n"/>
      <c r="AH51" s="351" t="n"/>
      <c r="AI51" s="351" t="n"/>
      <c r="AJ51" s="351" t="n"/>
      <c r="AK51" s="351" t="n"/>
      <c r="AL51" s="351" t="n"/>
      <c r="AM51" s="351" t="n"/>
      <c r="AN51" s="351" t="n"/>
      <c r="AO51" s="351" t="n"/>
      <c r="AP51" s="351" t="n"/>
      <c r="AQ51" s="351" t="n"/>
      <c r="AR51" s="351" t="n"/>
      <c r="AS51" s="351" t="n"/>
      <c r="AT51" s="351" t="n"/>
      <c r="AU51" s="351" t="n"/>
      <c r="AV51" s="351" t="n"/>
      <c r="AW51" s="351" t="n"/>
      <c r="AX51" s="351" t="n"/>
      <c r="AY51" s="351" t="n"/>
      <c r="AZ51" s="351" t="n"/>
      <c r="BA51" s="351" t="n"/>
      <c r="BB51" s="351" t="n"/>
      <c r="BC51" s="351" t="n"/>
      <c r="BD51" s="351" t="n"/>
      <c r="BE51" s="351" t="n"/>
      <c r="BF51" s="351" t="n"/>
      <c r="BG51" s="351" t="n"/>
      <c r="BH51" s="350">
        <f>SUM(E51:BG51)</f>
        <v/>
      </c>
      <c r="CO51" s="352" t="n"/>
    </row>
    <row r="52" ht="13.9" customHeight="1" s="276">
      <c r="A52" s="48">
        <f>A51+1</f>
        <v/>
      </c>
      <c r="B52" s="277" t="inlineStr">
        <is>
          <t xml:space="preserve">Ana Luiza Herrerias de Jesus </t>
        </is>
      </c>
      <c r="C52" s="257" t="n"/>
      <c r="D52" s="255" t="n"/>
      <c r="E52" s="351" t="n">
        <v>1050</v>
      </c>
      <c r="F52" s="351" t="n">
        <v>1050</v>
      </c>
      <c r="G52" s="351" t="n">
        <v>1050</v>
      </c>
      <c r="H52" s="351" t="n">
        <v>1050</v>
      </c>
      <c r="I52" s="351" t="n">
        <v>1050</v>
      </c>
      <c r="J52" s="351" t="n">
        <v>1050</v>
      </c>
      <c r="K52" s="351" t="n">
        <v>1050</v>
      </c>
      <c r="L52" s="351" t="n">
        <v>1050</v>
      </c>
      <c r="M52" s="351" t="n">
        <v>1050</v>
      </c>
      <c r="N52" s="351" t="n"/>
      <c r="O52" s="351" t="n"/>
      <c r="P52" s="351" t="n"/>
      <c r="Q52" s="351" t="n"/>
      <c r="R52" s="351" t="n"/>
      <c r="S52" s="351" t="n"/>
      <c r="T52" s="351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  <c r="AG52" s="351" t="n"/>
      <c r="AH52" s="351" t="n"/>
      <c r="AI52" s="351" t="n"/>
      <c r="AJ52" s="351" t="n"/>
      <c r="AK52" s="351" t="n"/>
      <c r="AL52" s="351" t="n"/>
      <c r="AM52" s="351" t="n"/>
      <c r="AN52" s="351" t="n"/>
      <c r="AO52" s="351" t="n"/>
      <c r="AP52" s="351" t="n"/>
      <c r="AQ52" s="351" t="n"/>
      <c r="AR52" s="351" t="n"/>
      <c r="AS52" s="351" t="n"/>
      <c r="AT52" s="351" t="n"/>
      <c r="AU52" s="351" t="n"/>
      <c r="AV52" s="351" t="n"/>
      <c r="AW52" s="351" t="n"/>
      <c r="AX52" s="351" t="n"/>
      <c r="AY52" s="351" t="n"/>
      <c r="AZ52" s="351" t="n"/>
      <c r="BA52" s="351" t="n"/>
      <c r="BB52" s="351" t="n"/>
      <c r="BC52" s="351" t="n"/>
      <c r="BD52" s="351" t="n"/>
      <c r="BE52" s="351" t="n"/>
      <c r="BF52" s="351" t="n"/>
      <c r="BG52" s="351" t="n"/>
      <c r="BH52" s="350">
        <f>SUM(E52:BG52)</f>
        <v/>
      </c>
      <c r="CO52" s="352" t="n"/>
    </row>
    <row r="53" ht="13.9" customHeight="1" s="276">
      <c r="A53" s="48">
        <f>A52+1</f>
        <v/>
      </c>
      <c r="B53" s="277" t="inlineStr">
        <is>
          <t>André Fazolo</t>
        </is>
      </c>
      <c r="C53" s="257" t="n"/>
      <c r="D53" s="255" t="n"/>
      <c r="E53" s="351" t="n">
        <v>1050</v>
      </c>
      <c r="F53" s="351" t="n">
        <v>1050</v>
      </c>
      <c r="G53" s="351" t="n">
        <v>1050</v>
      </c>
      <c r="H53" s="351" t="n">
        <v>1050</v>
      </c>
      <c r="I53" s="351" t="n">
        <v>1050</v>
      </c>
      <c r="J53" s="351" t="n">
        <v>1050</v>
      </c>
      <c r="K53" s="351" t="n">
        <v>1050</v>
      </c>
      <c r="L53" s="351" t="n">
        <v>1050</v>
      </c>
      <c r="M53" s="351" t="n">
        <v>1050</v>
      </c>
      <c r="N53" s="351" t="n"/>
      <c r="O53" s="351" t="n"/>
      <c r="P53" s="351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  <c r="AG53" s="351" t="n"/>
      <c r="AH53" s="351" t="n"/>
      <c r="AI53" s="351" t="n"/>
      <c r="AJ53" s="351" t="n"/>
      <c r="AK53" s="351" t="n"/>
      <c r="AL53" s="351" t="n"/>
      <c r="AM53" s="351" t="n"/>
      <c r="AN53" s="351" t="n"/>
      <c r="AO53" s="351" t="n"/>
      <c r="AP53" s="351" t="n"/>
      <c r="AQ53" s="351" t="n"/>
      <c r="AR53" s="351" t="n"/>
      <c r="AS53" s="351" t="n"/>
      <c r="AT53" s="351" t="n"/>
      <c r="AU53" s="351" t="n"/>
      <c r="AV53" s="351" t="n"/>
      <c r="AW53" s="351" t="n"/>
      <c r="AX53" s="351" t="n"/>
      <c r="AY53" s="351" t="n"/>
      <c r="AZ53" s="351" t="n"/>
      <c r="BA53" s="351" t="n"/>
      <c r="BB53" s="351" t="n"/>
      <c r="BC53" s="351" t="n"/>
      <c r="BD53" s="351" t="n"/>
      <c r="BE53" s="351" t="n"/>
      <c r="BF53" s="351" t="n"/>
      <c r="BG53" s="351" t="n"/>
      <c r="BH53" s="350">
        <f>SUM(E53:BG53)</f>
        <v/>
      </c>
      <c r="CO53" s="352" t="n"/>
    </row>
    <row r="54" ht="13.9" customHeight="1" s="276">
      <c r="A54" s="48">
        <f>A53+1</f>
        <v/>
      </c>
      <c r="B54" s="277" t="inlineStr">
        <is>
          <t xml:space="preserve">Andreilson Ferreira da Silva </t>
        </is>
      </c>
      <c r="C54" s="257" t="n"/>
      <c r="D54" s="255" t="n"/>
      <c r="E54" s="351" t="n">
        <v>1050</v>
      </c>
      <c r="F54" s="351" t="n">
        <v>1050</v>
      </c>
      <c r="G54" s="351" t="n">
        <v>1050</v>
      </c>
      <c r="H54" s="351" t="n">
        <v>1050</v>
      </c>
      <c r="I54" s="351" t="n">
        <v>1050</v>
      </c>
      <c r="J54" s="351" t="n">
        <v>1050</v>
      </c>
      <c r="K54" s="351" t="n">
        <v>1050</v>
      </c>
      <c r="L54" s="351" t="n">
        <v>1050</v>
      </c>
      <c r="M54" s="351" t="n">
        <v>1050</v>
      </c>
      <c r="N54" s="351" t="n"/>
      <c r="O54" s="351" t="n"/>
      <c r="P54" s="351" t="n"/>
      <c r="Q54" s="351" t="n"/>
      <c r="R54" s="351" t="n"/>
      <c r="S54" s="351" t="n"/>
      <c r="T54" s="351" t="n"/>
      <c r="U54" s="351" t="n"/>
      <c r="V54" s="351" t="n"/>
      <c r="W54" s="351" t="n"/>
      <c r="X54" s="351" t="n"/>
      <c r="Y54" s="351" t="n"/>
      <c r="Z54" s="351" t="n"/>
      <c r="AA54" s="351" t="n"/>
      <c r="AB54" s="351" t="n"/>
      <c r="AC54" s="351" t="n"/>
      <c r="AD54" s="351" t="n"/>
      <c r="AE54" s="351" t="n"/>
      <c r="AF54" s="351" t="n"/>
      <c r="AG54" s="351" t="n"/>
      <c r="AH54" s="351" t="n"/>
      <c r="AI54" s="351" t="n"/>
      <c r="AJ54" s="351" t="n"/>
      <c r="AK54" s="351" t="n"/>
      <c r="AL54" s="351" t="n"/>
      <c r="AM54" s="351" t="n"/>
      <c r="AN54" s="351" t="n"/>
      <c r="AO54" s="351" t="n"/>
      <c r="AP54" s="351" t="n"/>
      <c r="AQ54" s="351" t="n"/>
      <c r="AR54" s="351" t="n"/>
      <c r="AS54" s="351" t="n"/>
      <c r="AT54" s="351" t="n"/>
      <c r="AU54" s="351" t="n"/>
      <c r="AV54" s="351" t="n"/>
      <c r="AW54" s="351" t="n"/>
      <c r="AX54" s="351" t="n"/>
      <c r="AY54" s="351" t="n"/>
      <c r="AZ54" s="351" t="n"/>
      <c r="BA54" s="351" t="n"/>
      <c r="BB54" s="351" t="n"/>
      <c r="BC54" s="351" t="n"/>
      <c r="BD54" s="351" t="n"/>
      <c r="BE54" s="351" t="n"/>
      <c r="BF54" s="351" t="n"/>
      <c r="BG54" s="351" t="n"/>
      <c r="BH54" s="350">
        <f>SUM(E54:BG54)</f>
        <v/>
      </c>
      <c r="CO54" s="352" t="n"/>
    </row>
    <row r="55" ht="13.9" customHeight="1" s="276">
      <c r="A55" s="48">
        <f>A54+1</f>
        <v/>
      </c>
      <c r="B55" s="277" t="inlineStr">
        <is>
          <t>Arthur Biava Camargo</t>
        </is>
      </c>
      <c r="C55" s="257" t="n"/>
      <c r="D55" s="255" t="n"/>
      <c r="E55" s="351" t="n">
        <v>1050</v>
      </c>
      <c r="F55" s="351" t="n">
        <v>1050</v>
      </c>
      <c r="G55" s="351" t="n">
        <v>1050</v>
      </c>
      <c r="H55" s="351" t="n">
        <v>1050</v>
      </c>
      <c r="I55" s="351" t="n">
        <v>1050</v>
      </c>
      <c r="J55" s="351" t="n">
        <v>1050</v>
      </c>
      <c r="K55" s="351" t="n">
        <v>1050</v>
      </c>
      <c r="L55" s="351" t="n">
        <v>1050</v>
      </c>
      <c r="M55" s="351" t="n">
        <v>1050</v>
      </c>
      <c r="N55" s="351" t="n"/>
      <c r="O55" s="351" t="n"/>
      <c r="P55" s="351" t="n"/>
      <c r="Q55" s="351" t="n"/>
      <c r="R55" s="351" t="n"/>
      <c r="S55" s="351" t="n"/>
      <c r="T55" s="351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  <c r="AG55" s="351" t="n"/>
      <c r="AH55" s="351" t="n"/>
      <c r="AI55" s="351" t="n"/>
      <c r="AJ55" s="351" t="n"/>
      <c r="AK55" s="351" t="n"/>
      <c r="AL55" s="351" t="n"/>
      <c r="AM55" s="351" t="n"/>
      <c r="AN55" s="351" t="n"/>
      <c r="AO55" s="351" t="n"/>
      <c r="AP55" s="351" t="n"/>
      <c r="AQ55" s="351" t="n"/>
      <c r="AR55" s="351" t="n"/>
      <c r="AS55" s="351" t="n"/>
      <c r="AT55" s="351" t="n"/>
      <c r="AU55" s="351" t="n"/>
      <c r="AV55" s="351" t="n"/>
      <c r="AW55" s="351" t="n"/>
      <c r="AX55" s="351" t="n"/>
      <c r="AY55" s="351" t="n"/>
      <c r="AZ55" s="351" t="n"/>
      <c r="BA55" s="351" t="n"/>
      <c r="BB55" s="351" t="n"/>
      <c r="BC55" s="351" t="n"/>
      <c r="BD55" s="351" t="n"/>
      <c r="BE55" s="351" t="n"/>
      <c r="BF55" s="351" t="n"/>
      <c r="BG55" s="351" t="n"/>
      <c r="BH55" s="350">
        <f>SUM(E55:BG55)</f>
        <v/>
      </c>
      <c r="CO55" s="352" t="n"/>
    </row>
    <row r="56" ht="13.9" customHeight="1" s="276">
      <c r="A56" s="48">
        <f>A55+1</f>
        <v/>
      </c>
      <c r="B56" s="277" t="inlineStr">
        <is>
          <t>Bárbara Martins Folador</t>
        </is>
      </c>
      <c r="C56" s="257" t="n"/>
      <c r="D56" s="255" t="n"/>
      <c r="E56" s="351" t="n">
        <v>2200</v>
      </c>
      <c r="F56" s="351" t="n">
        <v>2200</v>
      </c>
      <c r="G56" s="351" t="n">
        <v>2200</v>
      </c>
      <c r="H56" s="351" t="n">
        <v>2200</v>
      </c>
      <c r="I56" s="351" t="n">
        <v>2200</v>
      </c>
      <c r="J56" s="351" t="n">
        <v>2200</v>
      </c>
      <c r="K56" s="351" t="n">
        <v>2200</v>
      </c>
      <c r="L56" s="351" t="n">
        <v>2200</v>
      </c>
      <c r="M56" s="351" t="n">
        <v>2200</v>
      </c>
      <c r="N56" s="351" t="n"/>
      <c r="O56" s="351" t="n"/>
      <c r="P56" s="351" t="n"/>
      <c r="Q56" s="351" t="n"/>
      <c r="R56" s="351" t="n"/>
      <c r="S56" s="351" t="n"/>
      <c r="T56" s="351" t="n"/>
      <c r="U56" s="351" t="n"/>
      <c r="V56" s="351" t="n"/>
      <c r="W56" s="351" t="n"/>
      <c r="X56" s="351" t="n"/>
      <c r="Y56" s="351" t="n"/>
      <c r="Z56" s="351" t="n"/>
      <c r="AA56" s="351" t="n"/>
      <c r="AB56" s="351" t="n"/>
      <c r="AC56" s="351" t="n"/>
      <c r="AD56" s="351" t="n"/>
      <c r="AE56" s="351" t="n"/>
      <c r="AF56" s="351" t="n"/>
      <c r="AG56" s="351" t="n"/>
      <c r="AH56" s="351" t="n"/>
      <c r="AI56" s="351" t="n"/>
      <c r="AJ56" s="351" t="n"/>
      <c r="AK56" s="351" t="n"/>
      <c r="AL56" s="351" t="n"/>
      <c r="AM56" s="351" t="n"/>
      <c r="AN56" s="351" t="n"/>
      <c r="AO56" s="351" t="n"/>
      <c r="AP56" s="351" t="n"/>
      <c r="AQ56" s="351" t="n"/>
      <c r="AR56" s="351" t="n"/>
      <c r="AS56" s="351" t="n"/>
      <c r="AT56" s="351" t="n"/>
      <c r="AU56" s="351" t="n"/>
      <c r="AV56" s="351" t="n"/>
      <c r="AW56" s="351" t="n"/>
      <c r="AX56" s="351" t="n"/>
      <c r="AY56" s="351" t="n"/>
      <c r="AZ56" s="351" t="n"/>
      <c r="BA56" s="351" t="n"/>
      <c r="BB56" s="351" t="n"/>
      <c r="BC56" s="351" t="n"/>
      <c r="BD56" s="351" t="n"/>
      <c r="BE56" s="351" t="n"/>
      <c r="BF56" s="351" t="n"/>
      <c r="BG56" s="351" t="n"/>
      <c r="BH56" s="350">
        <f>SUM(E56:BG56)</f>
        <v/>
      </c>
      <c r="CO56" s="352" t="n"/>
    </row>
    <row r="57" ht="13.9" customHeight="1" s="276">
      <c r="A57" s="48">
        <f>A56+1</f>
        <v/>
      </c>
      <c r="B57" s="277" t="inlineStr">
        <is>
          <t>Bernardo Perin Cima</t>
        </is>
      </c>
      <c r="C57" s="257" t="n"/>
      <c r="D57" s="255" t="n"/>
      <c r="E57" s="351" t="n">
        <v>3200</v>
      </c>
      <c r="F57" s="351" t="n">
        <v>3200</v>
      </c>
      <c r="G57" s="351" t="n">
        <v>3200</v>
      </c>
      <c r="H57" s="351" t="n">
        <v>3200</v>
      </c>
      <c r="I57" s="351" t="n">
        <v>3200</v>
      </c>
      <c r="J57" s="351" t="n">
        <v>3200</v>
      </c>
      <c r="K57" s="351" t="n">
        <v>3200</v>
      </c>
      <c r="L57" s="351" t="n">
        <v>3200</v>
      </c>
      <c r="M57" s="351" t="n">
        <v>3200</v>
      </c>
      <c r="N57" s="351" t="n"/>
      <c r="O57" s="351" t="n"/>
      <c r="P57" s="351" t="n"/>
      <c r="Q57" s="351" t="n"/>
      <c r="R57" s="351" t="n"/>
      <c r="S57" s="351" t="n"/>
      <c r="T57" s="351" t="n"/>
      <c r="U57" s="351" t="n"/>
      <c r="V57" s="351" t="n"/>
      <c r="W57" s="351" t="n"/>
      <c r="X57" s="351" t="n"/>
      <c r="Y57" s="351" t="n"/>
      <c r="Z57" s="351" t="n"/>
      <c r="AA57" s="351" t="n"/>
      <c r="AB57" s="351" t="n"/>
      <c r="AC57" s="351" t="n"/>
      <c r="AD57" s="351" t="n"/>
      <c r="AE57" s="351" t="n"/>
      <c r="AF57" s="351" t="n"/>
      <c r="AG57" s="351" t="n"/>
      <c r="AH57" s="351" t="n"/>
      <c r="AI57" s="351" t="n"/>
      <c r="AJ57" s="351" t="n"/>
      <c r="AK57" s="351" t="n"/>
      <c r="AL57" s="351" t="n"/>
      <c r="AM57" s="351" t="n"/>
      <c r="AN57" s="351" t="n"/>
      <c r="AO57" s="351" t="n"/>
      <c r="AP57" s="351" t="n"/>
      <c r="AQ57" s="351" t="n"/>
      <c r="AR57" s="351" t="n"/>
      <c r="AS57" s="351" t="n"/>
      <c r="AT57" s="351" t="n"/>
      <c r="AU57" s="351" t="n"/>
      <c r="AV57" s="351" t="n"/>
      <c r="AW57" s="351" t="n"/>
      <c r="AX57" s="351" t="n"/>
      <c r="AY57" s="351" t="n"/>
      <c r="AZ57" s="351" t="n"/>
      <c r="BA57" s="351" t="n"/>
      <c r="BB57" s="351" t="n"/>
      <c r="BC57" s="351" t="n"/>
      <c r="BD57" s="351" t="n"/>
      <c r="BE57" s="351" t="n"/>
      <c r="BF57" s="351" t="n"/>
      <c r="BG57" s="351" t="n"/>
      <c r="BH57" s="350">
        <f>SUM(E57:BG57)</f>
        <v/>
      </c>
      <c r="CO57" s="352" t="n"/>
    </row>
    <row r="58" ht="13.9" customHeight="1" s="276">
      <c r="A58" s="48">
        <f>A57+1</f>
        <v/>
      </c>
      <c r="B58" s="277" t="inlineStr">
        <is>
          <t>Bruno Carlo Celeguim De Amattos</t>
        </is>
      </c>
      <c r="C58" s="257" t="n"/>
      <c r="D58" s="255" t="n"/>
      <c r="E58" s="351" t="n">
        <v>4000</v>
      </c>
      <c r="F58" s="351" t="n">
        <v>4000</v>
      </c>
      <c r="G58" s="351" t="n">
        <v>4000</v>
      </c>
      <c r="H58" s="351" t="n">
        <v>4000</v>
      </c>
      <c r="I58" s="351" t="n">
        <v>4000</v>
      </c>
      <c r="J58" s="351" t="n">
        <v>4000</v>
      </c>
      <c r="K58" s="351" t="n">
        <v>4000</v>
      </c>
      <c r="L58" s="351" t="n">
        <v>4000</v>
      </c>
      <c r="M58" s="351" t="n">
        <v>4000</v>
      </c>
      <c r="N58" s="351" t="n"/>
      <c r="O58" s="351" t="n"/>
      <c r="P58" s="351" t="n"/>
      <c r="Q58" s="351" t="n"/>
      <c r="R58" s="351" t="n"/>
      <c r="S58" s="351" t="n"/>
      <c r="T58" s="351" t="n"/>
      <c r="U58" s="351" t="n"/>
      <c r="V58" s="351" t="n"/>
      <c r="W58" s="351" t="n"/>
      <c r="X58" s="351" t="n"/>
      <c r="Y58" s="351" t="n"/>
      <c r="Z58" s="351" t="n"/>
      <c r="AA58" s="351" t="n"/>
      <c r="AB58" s="351" t="n"/>
      <c r="AC58" s="351" t="n"/>
      <c r="AD58" s="351" t="n"/>
      <c r="AE58" s="351" t="n"/>
      <c r="AF58" s="351" t="n"/>
      <c r="AG58" s="351" t="n"/>
      <c r="AH58" s="351" t="n"/>
      <c r="AI58" s="351" t="n"/>
      <c r="AJ58" s="351" t="n"/>
      <c r="AK58" s="351" t="n"/>
      <c r="AL58" s="351" t="n"/>
      <c r="AM58" s="351" t="n"/>
      <c r="AN58" s="351" t="n"/>
      <c r="AO58" s="351" t="n"/>
      <c r="AP58" s="351" t="n"/>
      <c r="AQ58" s="351" t="n"/>
      <c r="AR58" s="351" t="n"/>
      <c r="AS58" s="351" t="n"/>
      <c r="AT58" s="351" t="n"/>
      <c r="AU58" s="351" t="n"/>
      <c r="AV58" s="351" t="n"/>
      <c r="AW58" s="351" t="n"/>
      <c r="AX58" s="351" t="n"/>
      <c r="AY58" s="351" t="n"/>
      <c r="AZ58" s="351" t="n"/>
      <c r="BA58" s="351" t="n"/>
      <c r="BB58" s="351" t="n"/>
      <c r="BC58" s="351" t="n"/>
      <c r="BD58" s="351" t="n"/>
      <c r="BE58" s="351" t="n"/>
      <c r="BF58" s="351" t="n"/>
      <c r="BG58" s="351" t="n"/>
      <c r="BH58" s="350">
        <f>SUM(E58:BG58)</f>
        <v/>
      </c>
      <c r="CO58" s="352" t="n"/>
    </row>
    <row r="59" ht="13.9" customHeight="1" s="276">
      <c r="A59" s="48">
        <f>A58+1</f>
        <v/>
      </c>
      <c r="B59" s="277" t="inlineStr">
        <is>
          <t>Caroline Bueno dos Anjos</t>
        </is>
      </c>
      <c r="C59" s="257" t="n"/>
      <c r="D59" s="255" t="n"/>
      <c r="E59" s="351" t="n">
        <v>1050</v>
      </c>
      <c r="F59" s="351" t="n">
        <v>1050</v>
      </c>
      <c r="G59" s="351" t="n">
        <v>1050</v>
      </c>
      <c r="H59" s="351" t="n">
        <v>1050</v>
      </c>
      <c r="I59" s="351" t="n">
        <v>1050</v>
      </c>
      <c r="J59" s="351" t="n">
        <v>1050</v>
      </c>
      <c r="K59" s="351" t="n">
        <v>1050</v>
      </c>
      <c r="L59" s="351" t="n">
        <v>1050</v>
      </c>
      <c r="M59" s="351" t="n">
        <v>1050</v>
      </c>
      <c r="N59" s="351" t="n"/>
      <c r="O59" s="351" t="n"/>
      <c r="P59" s="351" t="n"/>
      <c r="Q59" s="351" t="n"/>
      <c r="R59" s="351" t="n"/>
      <c r="S59" s="351" t="n"/>
      <c r="T59" s="351" t="n"/>
      <c r="U59" s="351" t="n"/>
      <c r="V59" s="351" t="n"/>
      <c r="W59" s="351" t="n"/>
      <c r="X59" s="351" t="n"/>
      <c r="Y59" s="351" t="n"/>
      <c r="Z59" s="351" t="n"/>
      <c r="AA59" s="351" t="n"/>
      <c r="AB59" s="351" t="n"/>
      <c r="AC59" s="351" t="n"/>
      <c r="AD59" s="351" t="n"/>
      <c r="AE59" s="351" t="n"/>
      <c r="AF59" s="351" t="n"/>
      <c r="AG59" s="351" t="n"/>
      <c r="AH59" s="351" t="n"/>
      <c r="AI59" s="351" t="n"/>
      <c r="AJ59" s="351" t="n"/>
      <c r="AK59" s="351" t="n"/>
      <c r="AL59" s="351" t="n"/>
      <c r="AM59" s="351" t="n"/>
      <c r="AN59" s="351" t="n"/>
      <c r="AO59" s="351" t="n"/>
      <c r="AP59" s="351" t="n"/>
      <c r="AQ59" s="351" t="n"/>
      <c r="AR59" s="351" t="n"/>
      <c r="AS59" s="351" t="n"/>
      <c r="AT59" s="351" t="n"/>
      <c r="AU59" s="351" t="n"/>
      <c r="AV59" s="351" t="n"/>
      <c r="AW59" s="351" t="n"/>
      <c r="AX59" s="351" t="n"/>
      <c r="AY59" s="351" t="n"/>
      <c r="AZ59" s="351" t="n"/>
      <c r="BA59" s="351" t="n"/>
      <c r="BB59" s="351" t="n"/>
      <c r="BC59" s="351" t="n"/>
      <c r="BD59" s="351" t="n"/>
      <c r="BE59" s="351" t="n"/>
      <c r="BF59" s="351" t="n"/>
      <c r="BG59" s="351" t="n"/>
      <c r="BH59" s="350">
        <f>SUM(E59:BG59)</f>
        <v/>
      </c>
      <c r="CO59" s="352" t="n"/>
    </row>
    <row r="60" ht="13.9" customHeight="1" s="276">
      <c r="A60" s="48">
        <f>A59+1</f>
        <v/>
      </c>
      <c r="B60" s="277" t="inlineStr">
        <is>
          <t>Cirilo Albino Nunes</t>
        </is>
      </c>
      <c r="C60" s="257" t="n"/>
      <c r="D60" s="255" t="n"/>
      <c r="E60" s="351" t="n">
        <v>2200</v>
      </c>
      <c r="F60" s="351" t="n">
        <v>2200</v>
      </c>
      <c r="G60" s="351" t="n">
        <v>2200</v>
      </c>
      <c r="H60" s="351" t="n">
        <v>2200</v>
      </c>
      <c r="I60" s="351" t="n">
        <v>2200</v>
      </c>
      <c r="J60" s="351" t="n">
        <v>2200</v>
      </c>
      <c r="K60" s="351" t="n">
        <v>2200</v>
      </c>
      <c r="L60" s="351" t="n">
        <v>2200</v>
      </c>
      <c r="M60" s="351" t="n">
        <v>2200</v>
      </c>
      <c r="N60" s="351" t="n"/>
      <c r="O60" s="351" t="n"/>
      <c r="P60" s="351" t="n"/>
      <c r="Q60" s="351" t="n"/>
      <c r="R60" s="351" t="n"/>
      <c r="S60" s="351" t="n"/>
      <c r="T60" s="351" t="n"/>
      <c r="U60" s="351" t="n"/>
      <c r="V60" s="351" t="n"/>
      <c r="W60" s="351" t="n"/>
      <c r="X60" s="351" t="n"/>
      <c r="Y60" s="351" t="n"/>
      <c r="Z60" s="351" t="n"/>
      <c r="AA60" s="351" t="n"/>
      <c r="AB60" s="351" t="n"/>
      <c r="AC60" s="351" t="n"/>
      <c r="AD60" s="351" t="n"/>
      <c r="AE60" s="351" t="n"/>
      <c r="AF60" s="351" t="n"/>
      <c r="AG60" s="351" t="n"/>
      <c r="AH60" s="351" t="n"/>
      <c r="AI60" s="351" t="n"/>
      <c r="AJ60" s="351" t="n"/>
      <c r="AK60" s="351" t="n"/>
      <c r="AL60" s="351" t="n"/>
      <c r="AM60" s="351" t="n"/>
      <c r="AN60" s="351" t="n"/>
      <c r="AO60" s="351" t="n"/>
      <c r="AP60" s="351" t="n"/>
      <c r="AQ60" s="351" t="n"/>
      <c r="AR60" s="351" t="n"/>
      <c r="AS60" s="351" t="n"/>
      <c r="AT60" s="351" t="n"/>
      <c r="AU60" s="351" t="n"/>
      <c r="AV60" s="351" t="n"/>
      <c r="AW60" s="351" t="n"/>
      <c r="AX60" s="351" t="n"/>
      <c r="AY60" s="351" t="n"/>
      <c r="AZ60" s="351" t="n"/>
      <c r="BA60" s="351" t="n"/>
      <c r="BB60" s="351" t="n"/>
      <c r="BC60" s="351" t="n"/>
      <c r="BD60" s="351" t="n"/>
      <c r="BE60" s="351" t="n"/>
      <c r="BF60" s="351" t="n"/>
      <c r="BG60" s="351" t="n"/>
      <c r="BH60" s="350">
        <f>SUM(E60:BG60)</f>
        <v/>
      </c>
      <c r="CO60" s="352" t="n"/>
    </row>
    <row r="61" ht="13.9" customHeight="1" s="276">
      <c r="A61" s="48">
        <f>A60+1</f>
        <v/>
      </c>
      <c r="B61" s="277" t="inlineStr">
        <is>
          <t>Daniel Weiss</t>
        </is>
      </c>
      <c r="C61" s="257" t="n"/>
      <c r="D61" s="255" t="n"/>
      <c r="E61" s="351" t="n">
        <v>1050</v>
      </c>
      <c r="F61" s="351" t="n">
        <v>1050</v>
      </c>
      <c r="G61" s="351" t="n">
        <v>1050</v>
      </c>
      <c r="H61" s="351" t="n">
        <v>1050</v>
      </c>
      <c r="I61" s="351" t="n">
        <v>1050</v>
      </c>
      <c r="J61" s="351" t="n">
        <v>1050</v>
      </c>
      <c r="K61" s="351" t="n">
        <v>1050</v>
      </c>
      <c r="L61" s="351" t="n"/>
      <c r="M61" s="351" t="n"/>
      <c r="N61" s="351" t="n"/>
      <c r="O61" s="351" t="n"/>
      <c r="P61" s="351" t="n"/>
      <c r="Q61" s="351" t="n"/>
      <c r="R61" s="351" t="n"/>
      <c r="S61" s="351" t="n"/>
      <c r="T61" s="351" t="n"/>
      <c r="U61" s="351" t="n"/>
      <c r="V61" s="351" t="n"/>
      <c r="W61" s="351" t="n"/>
      <c r="X61" s="351" t="n"/>
      <c r="Y61" s="351" t="n"/>
      <c r="Z61" s="351" t="n"/>
      <c r="AA61" s="351" t="n"/>
      <c r="AB61" s="351" t="n"/>
      <c r="AC61" s="351" t="n"/>
      <c r="AD61" s="351" t="n"/>
      <c r="AE61" s="351" t="n"/>
      <c r="AF61" s="351" t="n"/>
      <c r="AG61" s="351" t="n"/>
      <c r="AH61" s="351" t="n"/>
      <c r="AI61" s="351" t="n"/>
      <c r="AJ61" s="351" t="n"/>
      <c r="AK61" s="351" t="n"/>
      <c r="AL61" s="351" t="n"/>
      <c r="AM61" s="351" t="n"/>
      <c r="AN61" s="351" t="n"/>
      <c r="AO61" s="351" t="n"/>
      <c r="AP61" s="351" t="n"/>
      <c r="AQ61" s="351" t="n"/>
      <c r="AR61" s="351" t="n"/>
      <c r="AS61" s="351" t="n"/>
      <c r="AT61" s="351" t="n"/>
      <c r="AU61" s="351" t="n"/>
      <c r="AV61" s="351" t="n"/>
      <c r="AW61" s="351" t="n"/>
      <c r="AX61" s="351" t="n"/>
      <c r="AY61" s="351" t="n"/>
      <c r="AZ61" s="351" t="n"/>
      <c r="BA61" s="351" t="n"/>
      <c r="BB61" s="351" t="n"/>
      <c r="BC61" s="351" t="n"/>
      <c r="BD61" s="351" t="n"/>
      <c r="BE61" s="351" t="n"/>
      <c r="BF61" s="351" t="n"/>
      <c r="BG61" s="351" t="n"/>
      <c r="BH61" s="350">
        <f>SUM(E61:BG61)</f>
        <v/>
      </c>
      <c r="CO61" s="352" t="n"/>
    </row>
    <row r="62" ht="13.9" customHeight="1" s="276">
      <c r="A62" s="48">
        <f>A61+1</f>
        <v/>
      </c>
      <c r="B62" s="277" t="inlineStr">
        <is>
          <t>David Willian Henequim</t>
        </is>
      </c>
      <c r="C62" s="257" t="n"/>
      <c r="D62" s="255" t="n"/>
      <c r="E62" s="351" t="n">
        <v>1050</v>
      </c>
      <c r="F62" s="351" t="n">
        <v>1050</v>
      </c>
      <c r="G62" s="351" t="n">
        <v>1050</v>
      </c>
      <c r="H62" s="351" t="n">
        <v>1050</v>
      </c>
      <c r="I62" s="351" t="n">
        <v>1050</v>
      </c>
      <c r="J62" s="351" t="n">
        <v>1050</v>
      </c>
      <c r="K62" s="351" t="n">
        <v>1050</v>
      </c>
      <c r="L62" s="351" t="n">
        <v>1050</v>
      </c>
      <c r="M62" s="351" t="n">
        <v>1050</v>
      </c>
      <c r="N62" s="351" t="n"/>
      <c r="O62" s="351" t="n"/>
      <c r="P62" s="351" t="n"/>
      <c r="Q62" s="351" t="n"/>
      <c r="R62" s="351" t="n"/>
      <c r="S62" s="351" t="n"/>
      <c r="T62" s="351" t="n"/>
      <c r="U62" s="351" t="n"/>
      <c r="V62" s="351" t="n"/>
      <c r="W62" s="351" t="n"/>
      <c r="X62" s="351" t="n"/>
      <c r="Y62" s="351" t="n"/>
      <c r="Z62" s="351" t="n"/>
      <c r="AA62" s="351" t="n"/>
      <c r="AB62" s="351" t="n"/>
      <c r="AC62" s="351" t="n"/>
      <c r="AD62" s="351" t="n"/>
      <c r="AE62" s="351" t="n"/>
      <c r="AF62" s="351" t="n"/>
      <c r="AG62" s="351" t="n"/>
      <c r="AH62" s="351" t="n"/>
      <c r="AI62" s="351" t="n"/>
      <c r="AJ62" s="351" t="n"/>
      <c r="AK62" s="351" t="n"/>
      <c r="AL62" s="351" t="n"/>
      <c r="AM62" s="351" t="n"/>
      <c r="AN62" s="351" t="n"/>
      <c r="AO62" s="351" t="n"/>
      <c r="AP62" s="351" t="n"/>
      <c r="AQ62" s="351" t="n"/>
      <c r="AR62" s="351" t="n"/>
      <c r="AS62" s="351" t="n"/>
      <c r="AT62" s="351" t="n"/>
      <c r="AU62" s="351" t="n"/>
      <c r="AV62" s="351" t="n"/>
      <c r="AW62" s="351" t="n"/>
      <c r="AX62" s="351" t="n"/>
      <c r="AY62" s="351" t="n"/>
      <c r="AZ62" s="351" t="n"/>
      <c r="BA62" s="351" t="n"/>
      <c r="BB62" s="351" t="n"/>
      <c r="BC62" s="351" t="n"/>
      <c r="BD62" s="351" t="n"/>
      <c r="BE62" s="351" t="n"/>
      <c r="BF62" s="351" t="n"/>
      <c r="BG62" s="351" t="n"/>
      <c r="BH62" s="350">
        <f>SUM(E62:BG62)</f>
        <v/>
      </c>
      <c r="CO62" s="352" t="n"/>
    </row>
    <row r="63" ht="13.9" customHeight="1" s="276">
      <c r="A63" s="48">
        <f>A62+1</f>
        <v/>
      </c>
      <c r="B63" s="277" t="inlineStr">
        <is>
          <t>Débora Casasola</t>
        </is>
      </c>
      <c r="C63" s="257" t="n"/>
      <c r="D63" s="255" t="n"/>
      <c r="E63" s="351" t="n">
        <v>1625</v>
      </c>
      <c r="F63" s="351" t="n">
        <v>1625</v>
      </c>
      <c r="G63" s="351" t="n"/>
      <c r="H63" s="351" t="n"/>
      <c r="I63" s="351" t="n"/>
      <c r="J63" s="351" t="n"/>
      <c r="K63" s="351" t="n"/>
      <c r="L63" s="351" t="n"/>
      <c r="M63" s="351" t="n"/>
      <c r="N63" s="351" t="n"/>
      <c r="O63" s="351" t="n"/>
      <c r="P63" s="351" t="n"/>
      <c r="Q63" s="351" t="n"/>
      <c r="R63" s="351" t="n"/>
      <c r="S63" s="351" t="n"/>
      <c r="T63" s="351" t="n"/>
      <c r="U63" s="351" t="n"/>
      <c r="V63" s="351" t="n"/>
      <c r="W63" s="351" t="n"/>
      <c r="X63" s="351" t="n"/>
      <c r="Y63" s="351" t="n"/>
      <c r="Z63" s="351" t="n"/>
      <c r="AA63" s="351" t="n"/>
      <c r="AB63" s="351" t="n"/>
      <c r="AC63" s="351" t="n"/>
      <c r="AD63" s="351" t="n"/>
      <c r="AE63" s="351" t="n"/>
      <c r="AF63" s="351" t="n"/>
      <c r="AG63" s="351" t="n"/>
      <c r="AH63" s="351" t="n"/>
      <c r="AI63" s="351" t="n"/>
      <c r="AJ63" s="351" t="n"/>
      <c r="AK63" s="351" t="n"/>
      <c r="AL63" s="351" t="n"/>
      <c r="AM63" s="351" t="n"/>
      <c r="AN63" s="351" t="n"/>
      <c r="AO63" s="351" t="n"/>
      <c r="AP63" s="351" t="n"/>
      <c r="AQ63" s="351" t="n"/>
      <c r="AR63" s="351" t="n"/>
      <c r="AS63" s="351" t="n"/>
      <c r="AT63" s="351" t="n"/>
      <c r="AU63" s="351" t="n"/>
      <c r="AV63" s="351" t="n"/>
      <c r="AW63" s="351" t="n"/>
      <c r="AX63" s="351" t="n"/>
      <c r="AY63" s="351" t="n"/>
      <c r="AZ63" s="351" t="n"/>
      <c r="BA63" s="351" t="n"/>
      <c r="BB63" s="351" t="n"/>
      <c r="BC63" s="351" t="n"/>
      <c r="BD63" s="351" t="n"/>
      <c r="BE63" s="351" t="n"/>
      <c r="BF63" s="351" t="n"/>
      <c r="BG63" s="351" t="n"/>
      <c r="BH63" s="350">
        <f>SUM(E63:BG63)</f>
        <v/>
      </c>
      <c r="CO63" s="352" t="n"/>
    </row>
    <row r="64" ht="13.9" customHeight="1" s="276">
      <c r="A64" s="48">
        <f>A63+1</f>
        <v/>
      </c>
      <c r="B64" s="277" t="inlineStr">
        <is>
          <t>Estefani de Oliveira</t>
        </is>
      </c>
      <c r="C64" s="257" t="n"/>
      <c r="D64" s="255" t="n"/>
      <c r="E64" s="351" t="n">
        <v>1050</v>
      </c>
      <c r="F64" s="351" t="n">
        <v>1050</v>
      </c>
      <c r="G64" s="351" t="n">
        <v>1050</v>
      </c>
      <c r="H64" s="351" t="n">
        <v>1050</v>
      </c>
      <c r="I64" s="351" t="n">
        <v>1050</v>
      </c>
      <c r="J64" s="351" t="n">
        <v>1050</v>
      </c>
      <c r="K64" s="351" t="n">
        <v>1050</v>
      </c>
      <c r="L64" s="351" t="n">
        <v>1050</v>
      </c>
      <c r="M64" s="351" t="n">
        <v>1050</v>
      </c>
      <c r="N64" s="351" t="n"/>
      <c r="O64" s="351" t="n"/>
      <c r="P64" s="351" t="n"/>
      <c r="Q64" s="351" t="n"/>
      <c r="R64" s="351" t="n"/>
      <c r="S64" s="351" t="n"/>
      <c r="T64" s="351" t="n"/>
      <c r="U64" s="351" t="n"/>
      <c r="V64" s="351" t="n"/>
      <c r="W64" s="351" t="n"/>
      <c r="X64" s="351" t="n"/>
      <c r="Y64" s="351" t="n"/>
      <c r="Z64" s="351" t="n"/>
      <c r="AA64" s="351" t="n"/>
      <c r="AB64" s="351" t="n"/>
      <c r="AC64" s="351" t="n"/>
      <c r="AD64" s="351" t="n"/>
      <c r="AE64" s="351" t="n"/>
      <c r="AF64" s="351" t="n"/>
      <c r="AG64" s="351" t="n"/>
      <c r="AH64" s="351" t="n"/>
      <c r="AI64" s="351" t="n"/>
      <c r="AJ64" s="351" t="n"/>
      <c r="AK64" s="351" t="n"/>
      <c r="AL64" s="351" t="n"/>
      <c r="AM64" s="351" t="n"/>
      <c r="AN64" s="351" t="n"/>
      <c r="AO64" s="351" t="n"/>
      <c r="AP64" s="351" t="n"/>
      <c r="AQ64" s="351" t="n"/>
      <c r="AR64" s="351" t="n"/>
      <c r="AS64" s="351" t="n"/>
      <c r="AT64" s="351" t="n"/>
      <c r="AU64" s="351" t="n"/>
      <c r="AV64" s="351" t="n"/>
      <c r="AW64" s="351" t="n"/>
      <c r="AX64" s="351" t="n"/>
      <c r="AY64" s="351" t="n"/>
      <c r="AZ64" s="351" t="n"/>
      <c r="BA64" s="351" t="n"/>
      <c r="BB64" s="351" t="n"/>
      <c r="BC64" s="351" t="n"/>
      <c r="BD64" s="351" t="n"/>
      <c r="BE64" s="351" t="n"/>
      <c r="BF64" s="351" t="n"/>
      <c r="BG64" s="351" t="n"/>
      <c r="BH64" s="350">
        <f>SUM(E64:BG64)</f>
        <v/>
      </c>
      <c r="CO64" s="352" t="n"/>
    </row>
    <row r="65" ht="13.9" customHeight="1" s="276">
      <c r="A65" s="48">
        <f>A64+1</f>
        <v/>
      </c>
      <c r="B65" s="277" t="inlineStr">
        <is>
          <t>Felipe Miranda</t>
        </is>
      </c>
      <c r="C65" s="257" t="n"/>
      <c r="D65" s="255" t="n"/>
      <c r="E65" s="351" t="n">
        <v>1050</v>
      </c>
      <c r="F65" s="351" t="n">
        <v>1050</v>
      </c>
      <c r="G65" s="351" t="n">
        <v>1050</v>
      </c>
      <c r="H65" s="351" t="n">
        <v>1050</v>
      </c>
      <c r="I65" s="351" t="n">
        <v>1050</v>
      </c>
      <c r="J65" s="351" t="n">
        <v>1050</v>
      </c>
      <c r="K65" s="351" t="n">
        <v>1050</v>
      </c>
      <c r="L65" s="351" t="n">
        <v>1050</v>
      </c>
      <c r="M65" s="351" t="n">
        <v>1050</v>
      </c>
      <c r="N65" s="351" t="n"/>
      <c r="O65" s="351" t="n"/>
      <c r="P65" s="351" t="n"/>
      <c r="Q65" s="351" t="n"/>
      <c r="R65" s="351" t="n"/>
      <c r="S65" s="351" t="n"/>
      <c r="T65" s="351" t="n"/>
      <c r="U65" s="351" t="n"/>
      <c r="V65" s="351" t="n"/>
      <c r="W65" s="351" t="n"/>
      <c r="X65" s="351" t="n"/>
      <c r="Y65" s="351" t="n"/>
      <c r="Z65" s="351" t="n"/>
      <c r="AA65" s="351" t="n"/>
      <c r="AB65" s="351" t="n"/>
      <c r="AC65" s="351" t="n"/>
      <c r="AD65" s="351" t="n"/>
      <c r="AE65" s="351" t="n"/>
      <c r="AF65" s="351" t="n"/>
      <c r="AG65" s="351" t="n"/>
      <c r="AH65" s="351" t="n"/>
      <c r="AI65" s="351" t="n"/>
      <c r="AJ65" s="351" t="n"/>
      <c r="AK65" s="351" t="n"/>
      <c r="AL65" s="351" t="n"/>
      <c r="AM65" s="351" t="n"/>
      <c r="AN65" s="351" t="n"/>
      <c r="AO65" s="351" t="n"/>
      <c r="AP65" s="351" t="n"/>
      <c r="AQ65" s="351" t="n"/>
      <c r="AR65" s="351" t="n"/>
      <c r="AS65" s="351" t="n"/>
      <c r="AT65" s="351" t="n"/>
      <c r="AU65" s="351" t="n"/>
      <c r="AV65" s="351" t="n"/>
      <c r="AW65" s="351" t="n"/>
      <c r="AX65" s="351" t="n"/>
      <c r="AY65" s="351" t="n"/>
      <c r="AZ65" s="351" t="n"/>
      <c r="BA65" s="351" t="n"/>
      <c r="BB65" s="351" t="n"/>
      <c r="BC65" s="351" t="n"/>
      <c r="BD65" s="351" t="n"/>
      <c r="BE65" s="351" t="n"/>
      <c r="BF65" s="351" t="n"/>
      <c r="BG65" s="351" t="n"/>
      <c r="BH65" s="350">
        <f>SUM(E65:BG65)</f>
        <v/>
      </c>
      <c r="CO65" s="352" t="n"/>
    </row>
    <row r="66" ht="13.9" customHeight="1" s="276">
      <c r="A66" s="48">
        <f>A65+1</f>
        <v/>
      </c>
      <c r="B66" s="277" t="inlineStr">
        <is>
          <t xml:space="preserve">Fernanda Mayumi Maekawa Arruda </t>
        </is>
      </c>
      <c r="C66" s="257" t="n"/>
      <c r="D66" s="255" t="n"/>
      <c r="E66" s="351" t="n">
        <v>1050</v>
      </c>
      <c r="F66" s="351" t="n">
        <v>1050</v>
      </c>
      <c r="G66" s="351" t="n">
        <v>1050</v>
      </c>
      <c r="H66" s="351" t="n">
        <v>1050</v>
      </c>
      <c r="I66" s="351" t="n">
        <v>1050</v>
      </c>
      <c r="J66" s="351" t="n">
        <v>1050</v>
      </c>
      <c r="K66" s="351" t="n">
        <v>1050</v>
      </c>
      <c r="L66" s="351" t="n">
        <v>1050</v>
      </c>
      <c r="M66" s="351" t="n">
        <v>1050</v>
      </c>
      <c r="N66" s="351" t="n"/>
      <c r="O66" s="351" t="n"/>
      <c r="P66" s="351" t="n"/>
      <c r="Q66" s="351" t="n"/>
      <c r="R66" s="351" t="n"/>
      <c r="S66" s="351" t="n"/>
      <c r="T66" s="351" t="n"/>
      <c r="U66" s="351" t="n"/>
      <c r="V66" s="351" t="n"/>
      <c r="W66" s="351" t="n"/>
      <c r="X66" s="351" t="n"/>
      <c r="Y66" s="351" t="n"/>
      <c r="Z66" s="351" t="n"/>
      <c r="AA66" s="351" t="n"/>
      <c r="AB66" s="351" t="n"/>
      <c r="AC66" s="351" t="n"/>
      <c r="AD66" s="351" t="n"/>
      <c r="AE66" s="351" t="n"/>
      <c r="AF66" s="351" t="n"/>
      <c r="AG66" s="351" t="n"/>
      <c r="AH66" s="351" t="n"/>
      <c r="AI66" s="351" t="n"/>
      <c r="AJ66" s="351" t="n"/>
      <c r="AK66" s="351" t="n"/>
      <c r="AL66" s="351" t="n"/>
      <c r="AM66" s="351" t="n"/>
      <c r="AN66" s="351" t="n"/>
      <c r="AO66" s="351" t="n"/>
      <c r="AP66" s="351" t="n"/>
      <c r="AQ66" s="351" t="n"/>
      <c r="AR66" s="351" t="n"/>
      <c r="AS66" s="351" t="n"/>
      <c r="AT66" s="351" t="n"/>
      <c r="AU66" s="351" t="n"/>
      <c r="AV66" s="351" t="n"/>
      <c r="AW66" s="351" t="n"/>
      <c r="AX66" s="351" t="n"/>
      <c r="AY66" s="351" t="n"/>
      <c r="AZ66" s="351" t="n"/>
      <c r="BA66" s="351" t="n"/>
      <c r="BB66" s="351" t="n"/>
      <c r="BC66" s="351" t="n"/>
      <c r="BD66" s="351" t="n"/>
      <c r="BE66" s="351" t="n"/>
      <c r="BF66" s="351" t="n"/>
      <c r="BG66" s="351" t="n"/>
      <c r="BH66" s="350">
        <f>SUM(E66:BG66)</f>
        <v/>
      </c>
      <c r="CO66" s="352" t="n"/>
    </row>
    <row r="67" ht="13.9" customHeight="1" s="276">
      <c r="A67" s="48">
        <f>A66+1</f>
        <v/>
      </c>
      <c r="B67" s="277" t="inlineStr">
        <is>
          <t>Fernando Seabra</t>
        </is>
      </c>
      <c r="C67" s="257" t="n"/>
      <c r="D67" s="255" t="n"/>
      <c r="E67" s="351" t="n">
        <v>3000</v>
      </c>
      <c r="F67" s="351" t="n">
        <v>3000</v>
      </c>
      <c r="G67" s="351" t="n">
        <v>3000</v>
      </c>
      <c r="H67" s="351" t="n">
        <v>3000</v>
      </c>
      <c r="I67" s="351" t="n">
        <v>3000</v>
      </c>
      <c r="J67" s="351" t="n">
        <v>3000</v>
      </c>
      <c r="K67" s="351" t="n">
        <v>3000</v>
      </c>
      <c r="L67" s="351" t="n">
        <v>3000</v>
      </c>
      <c r="M67" s="351" t="n">
        <v>3000</v>
      </c>
      <c r="N67" s="351" t="n">
        <v>3000</v>
      </c>
      <c r="O67" s="351" t="n">
        <v>3000</v>
      </c>
      <c r="P67" s="351" t="n">
        <v>3000</v>
      </c>
      <c r="Q67" s="351" t="n">
        <v>3000</v>
      </c>
      <c r="R67" s="351" t="n">
        <v>3000</v>
      </c>
      <c r="S67" s="351" t="n">
        <v>3000</v>
      </c>
      <c r="T67" s="351" t="n">
        <v>3000</v>
      </c>
      <c r="U67" s="351" t="n">
        <v>3000</v>
      </c>
      <c r="V67" s="351" t="n">
        <v>3000</v>
      </c>
      <c r="W67" s="351" t="n">
        <v>3000</v>
      </c>
      <c r="X67" s="351" t="n"/>
      <c r="Y67" s="351" t="n"/>
      <c r="Z67" s="351" t="n"/>
      <c r="AA67" s="351" t="n"/>
      <c r="AB67" s="351" t="n"/>
      <c r="AC67" s="351" t="n"/>
      <c r="AD67" s="351" t="n"/>
      <c r="AE67" s="351" t="n"/>
      <c r="AF67" s="351" t="n"/>
      <c r="AG67" s="351" t="n"/>
      <c r="AH67" s="351" t="n"/>
      <c r="AI67" s="351" t="n"/>
      <c r="AJ67" s="351" t="n"/>
      <c r="AK67" s="351" t="n"/>
      <c r="AL67" s="351" t="n"/>
      <c r="AM67" s="351" t="n"/>
      <c r="AN67" s="351" t="n"/>
      <c r="AO67" s="351" t="n"/>
      <c r="AP67" s="351" t="n"/>
      <c r="AQ67" s="351" t="n"/>
      <c r="AR67" s="351" t="n"/>
      <c r="AS67" s="351" t="n"/>
      <c r="AT67" s="351" t="n"/>
      <c r="AU67" s="351" t="n"/>
      <c r="AV67" s="351" t="n"/>
      <c r="AW67" s="351" t="n"/>
      <c r="AX67" s="351" t="n"/>
      <c r="AY67" s="351" t="n"/>
      <c r="AZ67" s="351" t="n"/>
      <c r="BA67" s="351" t="n"/>
      <c r="BB67" s="351" t="n"/>
      <c r="BC67" s="351" t="n"/>
      <c r="BD67" s="351" t="n"/>
      <c r="BE67" s="351" t="n"/>
      <c r="BF67" s="351" t="n"/>
      <c r="BG67" s="351" t="n"/>
      <c r="BH67" s="350">
        <f>SUM(E67:BG67)</f>
        <v/>
      </c>
      <c r="CO67" s="352" t="n"/>
    </row>
    <row r="68" ht="13.9" customHeight="1" s="276">
      <c r="A68" s="48">
        <f>A67+1</f>
        <v/>
      </c>
      <c r="B68" s="277" t="inlineStr">
        <is>
          <t>Gabriel Almeida Ribeiro</t>
        </is>
      </c>
      <c r="C68" s="257" t="n"/>
      <c r="D68" s="255" t="n"/>
      <c r="E68" s="351" t="n">
        <v>1050</v>
      </c>
      <c r="F68" s="351" t="n">
        <v>1050</v>
      </c>
      <c r="G68" s="351" t="n">
        <v>1050</v>
      </c>
      <c r="H68" s="351" t="n">
        <v>1050</v>
      </c>
      <c r="I68" s="351" t="n">
        <v>1050</v>
      </c>
      <c r="J68" s="351" t="n">
        <v>1050</v>
      </c>
      <c r="K68" s="351" t="n">
        <v>1050</v>
      </c>
      <c r="L68" s="351" t="n">
        <v>1050</v>
      </c>
      <c r="M68" s="351" t="n">
        <v>1050</v>
      </c>
      <c r="N68" s="351" t="n"/>
      <c r="O68" s="351" t="n"/>
      <c r="P68" s="351" t="n"/>
      <c r="Q68" s="351" t="n"/>
      <c r="R68" s="351" t="n"/>
      <c r="S68" s="351" t="n"/>
      <c r="T68" s="351" t="n"/>
      <c r="U68" s="351" t="n"/>
      <c r="V68" s="351" t="n"/>
      <c r="W68" s="351" t="n"/>
      <c r="X68" s="351" t="n"/>
      <c r="Y68" s="351" t="n"/>
      <c r="Z68" s="351" t="n"/>
      <c r="AA68" s="351" t="n"/>
      <c r="AB68" s="351" t="n"/>
      <c r="AC68" s="351" t="n"/>
      <c r="AD68" s="351" t="n"/>
      <c r="AE68" s="351" t="n"/>
      <c r="AF68" s="351" t="n"/>
      <c r="AG68" s="351" t="n"/>
      <c r="AH68" s="351" t="n"/>
      <c r="AI68" s="351" t="n"/>
      <c r="AJ68" s="351" t="n"/>
      <c r="AK68" s="351" t="n"/>
      <c r="AL68" s="351" t="n"/>
      <c r="AM68" s="351" t="n"/>
      <c r="AN68" s="351" t="n"/>
      <c r="AO68" s="351" t="n"/>
      <c r="AP68" s="351" t="n"/>
      <c r="AQ68" s="351" t="n"/>
      <c r="AR68" s="351" t="n"/>
      <c r="AS68" s="351" t="n"/>
      <c r="AT68" s="351" t="n"/>
      <c r="AU68" s="351" t="n"/>
      <c r="AV68" s="351" t="n"/>
      <c r="AW68" s="351" t="n"/>
      <c r="AX68" s="351" t="n"/>
      <c r="AY68" s="351" t="n"/>
      <c r="AZ68" s="351" t="n"/>
      <c r="BA68" s="351" t="n"/>
      <c r="BB68" s="351" t="n"/>
      <c r="BC68" s="351" t="n"/>
      <c r="BD68" s="351" t="n"/>
      <c r="BE68" s="351" t="n"/>
      <c r="BF68" s="351" t="n"/>
      <c r="BG68" s="351" t="n"/>
      <c r="BH68" s="350">
        <f>SUM(E68:BG68)</f>
        <v/>
      </c>
      <c r="CO68" s="352" t="n"/>
    </row>
    <row r="69" ht="13.9" customHeight="1" s="276">
      <c r="A69" s="48">
        <f>A68+1</f>
        <v/>
      </c>
      <c r="B69" s="277" t="inlineStr">
        <is>
          <t>Gabriel Dal Pont</t>
        </is>
      </c>
      <c r="C69" s="257" t="n"/>
      <c r="D69" s="255" t="n"/>
      <c r="E69" s="351" t="n">
        <v>1050</v>
      </c>
      <c r="F69" s="351" t="n">
        <v>1050</v>
      </c>
      <c r="G69" s="351" t="n">
        <v>1050</v>
      </c>
      <c r="H69" s="351" t="n">
        <v>1050</v>
      </c>
      <c r="I69" s="351" t="n">
        <v>1050</v>
      </c>
      <c r="J69" s="351" t="n">
        <v>1050</v>
      </c>
      <c r="K69" s="351" t="n">
        <v>1050</v>
      </c>
      <c r="L69" s="351" t="n">
        <v>1050</v>
      </c>
      <c r="M69" s="351" t="n">
        <v>1050</v>
      </c>
      <c r="N69" s="351" t="n"/>
      <c r="O69" s="351" t="n"/>
      <c r="P69" s="351" t="n"/>
      <c r="Q69" s="351" t="n"/>
      <c r="R69" s="351" t="n"/>
      <c r="S69" s="351" t="n"/>
      <c r="T69" s="351" t="n"/>
      <c r="U69" s="351" t="n"/>
      <c r="V69" s="351" t="n"/>
      <c r="W69" s="351" t="n"/>
      <c r="X69" s="351" t="n"/>
      <c r="Y69" s="351" t="n"/>
      <c r="Z69" s="351" t="n"/>
      <c r="AA69" s="351" t="n"/>
      <c r="AB69" s="351" t="n"/>
      <c r="AC69" s="351" t="n"/>
      <c r="AD69" s="351" t="n"/>
      <c r="AE69" s="351" t="n"/>
      <c r="AF69" s="351" t="n"/>
      <c r="AG69" s="351" t="n"/>
      <c r="AH69" s="351" t="n"/>
      <c r="AI69" s="351" t="n"/>
      <c r="AJ69" s="351" t="n"/>
      <c r="AK69" s="351" t="n"/>
      <c r="AL69" s="351" t="n"/>
      <c r="AM69" s="351" t="n"/>
      <c r="AN69" s="351" t="n"/>
      <c r="AO69" s="351" t="n"/>
      <c r="AP69" s="351" t="n"/>
      <c r="AQ69" s="351" t="n"/>
      <c r="AR69" s="351" t="n"/>
      <c r="AS69" s="351" t="n"/>
      <c r="AT69" s="351" t="n"/>
      <c r="AU69" s="351" t="n"/>
      <c r="AV69" s="351" t="n"/>
      <c r="AW69" s="351" t="n"/>
      <c r="AX69" s="351" t="n"/>
      <c r="AY69" s="351" t="n"/>
      <c r="AZ69" s="351" t="n"/>
      <c r="BA69" s="351" t="n"/>
      <c r="BB69" s="351" t="n"/>
      <c r="BC69" s="351" t="n"/>
      <c r="BD69" s="351" t="n"/>
      <c r="BE69" s="351" t="n"/>
      <c r="BF69" s="351" t="n"/>
      <c r="BG69" s="351" t="n"/>
      <c r="BH69" s="350">
        <f>SUM(E69:BG69)</f>
        <v/>
      </c>
      <c r="CO69" s="352" t="n"/>
    </row>
    <row r="70" ht="13.9" customHeight="1" s="276">
      <c r="A70" s="48">
        <f>A69+1</f>
        <v/>
      </c>
      <c r="B70" s="277" t="inlineStr">
        <is>
          <t>Gabriel Silveira da Silva</t>
        </is>
      </c>
      <c r="C70" s="257" t="n"/>
      <c r="D70" s="255" t="n"/>
      <c r="E70" s="351" t="n">
        <v>1050</v>
      </c>
      <c r="F70" s="351" t="n">
        <v>1050</v>
      </c>
      <c r="G70" s="351" t="n">
        <v>1050</v>
      </c>
      <c r="H70" s="351" t="n">
        <v>1050</v>
      </c>
      <c r="I70" s="351" t="n">
        <v>1050</v>
      </c>
      <c r="J70" s="351" t="n">
        <v>1050</v>
      </c>
      <c r="K70" s="351" t="n">
        <v>1050</v>
      </c>
      <c r="L70" s="351" t="n">
        <v>1050</v>
      </c>
      <c r="M70" s="351" t="n">
        <v>1050</v>
      </c>
      <c r="N70" s="351" t="n"/>
      <c r="O70" s="351" t="n"/>
      <c r="P70" s="351" t="n"/>
      <c r="Q70" s="351" t="n"/>
      <c r="R70" s="351" t="n"/>
      <c r="S70" s="351" t="n"/>
      <c r="T70" s="351" t="n"/>
      <c r="U70" s="351" t="n"/>
      <c r="V70" s="351" t="n"/>
      <c r="W70" s="351" t="n"/>
      <c r="X70" s="351" t="n"/>
      <c r="Y70" s="351" t="n"/>
      <c r="Z70" s="351" t="n"/>
      <c r="AA70" s="351" t="n"/>
      <c r="AB70" s="351" t="n"/>
      <c r="AC70" s="351" t="n"/>
      <c r="AD70" s="351" t="n"/>
      <c r="AE70" s="351" t="n"/>
      <c r="AF70" s="351" t="n"/>
      <c r="AG70" s="351" t="n"/>
      <c r="AH70" s="351" t="n"/>
      <c r="AI70" s="351" t="n"/>
      <c r="AJ70" s="351" t="n"/>
      <c r="AK70" s="351" t="n"/>
      <c r="AL70" s="351" t="n"/>
      <c r="AM70" s="351" t="n"/>
      <c r="AN70" s="351" t="n"/>
      <c r="AO70" s="351" t="n"/>
      <c r="AP70" s="351" t="n"/>
      <c r="AQ70" s="351" t="n"/>
      <c r="AR70" s="351" t="n"/>
      <c r="AS70" s="351" t="n"/>
      <c r="AT70" s="351" t="n"/>
      <c r="AU70" s="351" t="n"/>
      <c r="AV70" s="351" t="n"/>
      <c r="AW70" s="351" t="n"/>
      <c r="AX70" s="351" t="n"/>
      <c r="AY70" s="351" t="n"/>
      <c r="AZ70" s="351" t="n"/>
      <c r="BA70" s="351" t="n"/>
      <c r="BB70" s="351" t="n"/>
      <c r="BC70" s="351" t="n"/>
      <c r="BD70" s="351" t="n"/>
      <c r="BE70" s="351" t="n"/>
      <c r="BF70" s="351" t="n"/>
      <c r="BG70" s="351" t="n"/>
      <c r="BH70" s="350">
        <f>SUM(E70:BG70)</f>
        <v/>
      </c>
      <c r="CO70" s="352" t="n"/>
    </row>
    <row r="71" ht="13.9" customHeight="1" s="276">
      <c r="A71" s="48">
        <f>A70+1</f>
        <v/>
      </c>
      <c r="B71" s="277" t="inlineStr">
        <is>
          <t>Geovana Mohr Thomas</t>
        </is>
      </c>
      <c r="C71" s="257" t="n"/>
      <c r="D71" s="255" t="n"/>
      <c r="E71" s="351" t="n">
        <v>1050</v>
      </c>
      <c r="F71" s="351" t="n">
        <v>1050</v>
      </c>
      <c r="G71" s="351" t="n">
        <v>1050</v>
      </c>
      <c r="H71" s="351" t="n">
        <v>1050</v>
      </c>
      <c r="I71" s="351" t="n"/>
      <c r="J71" s="351" t="n"/>
      <c r="K71" s="351" t="n"/>
      <c r="L71" s="351" t="n"/>
      <c r="M71" s="351" t="n"/>
      <c r="N71" s="351" t="n"/>
      <c r="O71" s="351" t="n"/>
      <c r="P71" s="351" t="n"/>
      <c r="Q71" s="351" t="n"/>
      <c r="R71" s="351" t="n"/>
      <c r="S71" s="351" t="n"/>
      <c r="T71" s="351" t="n"/>
      <c r="U71" s="351" t="n"/>
      <c r="V71" s="351" t="n"/>
      <c r="W71" s="351" t="n"/>
      <c r="X71" s="351" t="n"/>
      <c r="Y71" s="351" t="n"/>
      <c r="Z71" s="351" t="n"/>
      <c r="AA71" s="351" t="n"/>
      <c r="AB71" s="351" t="n"/>
      <c r="AC71" s="351" t="n"/>
      <c r="AD71" s="351" t="n"/>
      <c r="AE71" s="351" t="n"/>
      <c r="AF71" s="351" t="n"/>
      <c r="AG71" s="351" t="n"/>
      <c r="AH71" s="351" t="n"/>
      <c r="AI71" s="351" t="n"/>
      <c r="AJ71" s="351" t="n"/>
      <c r="AK71" s="351" t="n"/>
      <c r="AL71" s="351" t="n"/>
      <c r="AM71" s="351" t="n"/>
      <c r="AN71" s="351" t="n"/>
      <c r="AO71" s="351" t="n"/>
      <c r="AP71" s="351" t="n"/>
      <c r="AQ71" s="351" t="n"/>
      <c r="AR71" s="351" t="n"/>
      <c r="AS71" s="351" t="n"/>
      <c r="AT71" s="351" t="n"/>
      <c r="AU71" s="351" t="n"/>
      <c r="AV71" s="351" t="n"/>
      <c r="AW71" s="351" t="n"/>
      <c r="AX71" s="351" t="n"/>
      <c r="AY71" s="351" t="n"/>
      <c r="AZ71" s="351" t="n"/>
      <c r="BA71" s="351" t="n"/>
      <c r="BB71" s="351" t="n"/>
      <c r="BC71" s="351" t="n"/>
      <c r="BD71" s="351" t="n"/>
      <c r="BE71" s="351" t="n"/>
      <c r="BF71" s="351" t="n"/>
      <c r="BG71" s="351" t="n"/>
      <c r="BH71" s="350">
        <f>SUM(E71:BG71)</f>
        <v/>
      </c>
      <c r="CO71" s="352" t="n"/>
    </row>
    <row r="72" ht="13.9" customHeight="1" s="276">
      <c r="A72" s="48">
        <f>A71+1</f>
        <v/>
      </c>
      <c r="B72" s="277" t="inlineStr">
        <is>
          <t>Giorgia Hack Barreto Dariva</t>
        </is>
      </c>
      <c r="C72" s="257" t="n"/>
      <c r="D72" s="255" t="n"/>
      <c r="E72" s="351" t="n">
        <v>2200</v>
      </c>
      <c r="F72" s="351" t="n">
        <v>2200</v>
      </c>
      <c r="G72" s="351" t="n">
        <v>2200</v>
      </c>
      <c r="H72" s="351" t="n">
        <v>2200</v>
      </c>
      <c r="I72" s="351" t="n">
        <v>2200</v>
      </c>
      <c r="J72" s="351" t="n">
        <v>2200</v>
      </c>
      <c r="K72" s="351" t="n">
        <v>2200</v>
      </c>
      <c r="L72" s="351" t="n">
        <v>2200</v>
      </c>
      <c r="M72" s="351" t="n">
        <v>2200</v>
      </c>
      <c r="N72" s="351" t="n"/>
      <c r="O72" s="351" t="n"/>
      <c r="P72" s="351" t="n"/>
      <c r="Q72" s="351" t="n"/>
      <c r="R72" s="351" t="n"/>
      <c r="S72" s="351" t="n"/>
      <c r="T72" s="351" t="n"/>
      <c r="U72" s="351" t="n"/>
      <c r="V72" s="351" t="n"/>
      <c r="W72" s="351" t="n"/>
      <c r="X72" s="351" t="n"/>
      <c r="Y72" s="351" t="n"/>
      <c r="Z72" s="351" t="n"/>
      <c r="AA72" s="351" t="n"/>
      <c r="AB72" s="351" t="n"/>
      <c r="AC72" s="351" t="n"/>
      <c r="AD72" s="351" t="n"/>
      <c r="AE72" s="351" t="n"/>
      <c r="AF72" s="351" t="n"/>
      <c r="AG72" s="351" t="n"/>
      <c r="AH72" s="351" t="n"/>
      <c r="AI72" s="351" t="n"/>
      <c r="AJ72" s="351" t="n"/>
      <c r="AK72" s="351" t="n"/>
      <c r="AL72" s="351" t="n"/>
      <c r="AM72" s="351" t="n"/>
      <c r="AN72" s="351" t="n"/>
      <c r="AO72" s="351" t="n"/>
      <c r="AP72" s="351" t="n"/>
      <c r="AQ72" s="351" t="n"/>
      <c r="AR72" s="351" t="n"/>
      <c r="AS72" s="351" t="n"/>
      <c r="AT72" s="351" t="n"/>
      <c r="AU72" s="351" t="n"/>
      <c r="AV72" s="351" t="n"/>
      <c r="AW72" s="351" t="n"/>
      <c r="AX72" s="351" t="n"/>
      <c r="AY72" s="351" t="n"/>
      <c r="AZ72" s="351" t="n"/>
      <c r="BA72" s="351" t="n"/>
      <c r="BB72" s="351" t="n"/>
      <c r="BC72" s="351" t="n"/>
      <c r="BD72" s="351" t="n"/>
      <c r="BE72" s="351" t="n"/>
      <c r="BF72" s="351" t="n"/>
      <c r="BG72" s="351" t="n"/>
      <c r="BH72" s="350">
        <f>SUM(E72:BG72)</f>
        <v/>
      </c>
      <c r="CO72" s="352" t="n"/>
    </row>
    <row r="73" ht="13.9" customHeight="1" s="276">
      <c r="A73" s="48">
        <f>A72+1</f>
        <v/>
      </c>
      <c r="B73" s="277" t="inlineStr">
        <is>
          <t xml:space="preserve">Giovana Beatriz Vogel da Silva </t>
        </is>
      </c>
      <c r="C73" s="257" t="n"/>
      <c r="D73" s="255" t="n"/>
      <c r="E73" s="351" t="n">
        <v>1050</v>
      </c>
      <c r="F73" s="351" t="n">
        <v>1050</v>
      </c>
      <c r="G73" s="351" t="n">
        <v>1050</v>
      </c>
      <c r="H73" s="351" t="n">
        <v>1050</v>
      </c>
      <c r="I73" s="351" t="n">
        <v>1050</v>
      </c>
      <c r="J73" s="351" t="n">
        <v>1050</v>
      </c>
      <c r="K73" s="351" t="n">
        <v>1050</v>
      </c>
      <c r="L73" s="351" t="n">
        <v>1050</v>
      </c>
      <c r="M73" s="351" t="n">
        <v>1050</v>
      </c>
      <c r="N73" s="351" t="n"/>
      <c r="O73" s="351" t="n"/>
      <c r="P73" s="351" t="n"/>
      <c r="Q73" s="351" t="n"/>
      <c r="R73" s="351" t="n"/>
      <c r="S73" s="351" t="n"/>
      <c r="T73" s="351" t="n"/>
      <c r="U73" s="351" t="n"/>
      <c r="V73" s="351" t="n"/>
      <c r="W73" s="351" t="n"/>
      <c r="X73" s="351" t="n"/>
      <c r="Y73" s="351" t="n"/>
      <c r="Z73" s="351" t="n"/>
      <c r="AA73" s="351" t="n"/>
      <c r="AB73" s="351" t="n"/>
      <c r="AC73" s="351" t="n"/>
      <c r="AD73" s="351" t="n"/>
      <c r="AE73" s="351" t="n"/>
      <c r="AF73" s="351" t="n"/>
      <c r="AG73" s="351" t="n"/>
      <c r="AH73" s="351" t="n"/>
      <c r="AI73" s="351" t="n"/>
      <c r="AJ73" s="351" t="n"/>
      <c r="AK73" s="351" t="n"/>
      <c r="AL73" s="351" t="n"/>
      <c r="AM73" s="351" t="n"/>
      <c r="AN73" s="351" t="n"/>
      <c r="AO73" s="351" t="n"/>
      <c r="AP73" s="351" t="n"/>
      <c r="AQ73" s="351" t="n"/>
      <c r="AR73" s="351" t="n"/>
      <c r="AS73" s="351" t="n"/>
      <c r="AT73" s="351" t="n"/>
      <c r="AU73" s="351" t="n"/>
      <c r="AV73" s="351" t="n"/>
      <c r="AW73" s="351" t="n"/>
      <c r="AX73" s="351" t="n"/>
      <c r="AY73" s="351" t="n"/>
      <c r="AZ73" s="351" t="n"/>
      <c r="BA73" s="351" t="n"/>
      <c r="BB73" s="351" t="n"/>
      <c r="BC73" s="351" t="n"/>
      <c r="BD73" s="351" t="n"/>
      <c r="BE73" s="351" t="n"/>
      <c r="BF73" s="351" t="n"/>
      <c r="BG73" s="351" t="n"/>
      <c r="BH73" s="350">
        <f>SUM(E73:BG73)</f>
        <v/>
      </c>
      <c r="CO73" s="352" t="n"/>
    </row>
    <row r="74" ht="13.9" customHeight="1" s="276">
      <c r="A74" s="48">
        <f>A73+1</f>
        <v/>
      </c>
      <c r="B74" s="277" t="inlineStr">
        <is>
          <t xml:space="preserve">Giulia Glienke </t>
        </is>
      </c>
      <c r="C74" s="257" t="n"/>
      <c r="D74" s="255" t="n"/>
      <c r="E74" s="351" t="n">
        <v>1050</v>
      </c>
      <c r="F74" s="351" t="n">
        <v>1050</v>
      </c>
      <c r="G74" s="351" t="n">
        <v>1050</v>
      </c>
      <c r="H74" s="351" t="n">
        <v>1050</v>
      </c>
      <c r="I74" s="351" t="n">
        <v>1050</v>
      </c>
      <c r="J74" s="351" t="n">
        <v>1050</v>
      </c>
      <c r="K74" s="351" t="n">
        <v>1050</v>
      </c>
      <c r="L74" s="351" t="n">
        <v>1050</v>
      </c>
      <c r="M74" s="351" t="n">
        <v>1050</v>
      </c>
      <c r="N74" s="351" t="n"/>
      <c r="O74" s="351" t="n"/>
      <c r="P74" s="351" t="n"/>
      <c r="Q74" s="351" t="n"/>
      <c r="R74" s="351" t="n"/>
      <c r="S74" s="351" t="n"/>
      <c r="T74" s="351" t="n"/>
      <c r="U74" s="351" t="n"/>
      <c r="V74" s="351" t="n"/>
      <c r="W74" s="351" t="n"/>
      <c r="X74" s="351" t="n"/>
      <c r="Y74" s="351" t="n"/>
      <c r="Z74" s="351" t="n"/>
      <c r="AA74" s="351" t="n"/>
      <c r="AB74" s="351" t="n"/>
      <c r="AC74" s="351" t="n"/>
      <c r="AD74" s="351" t="n"/>
      <c r="AE74" s="351" t="n"/>
      <c r="AF74" s="351" t="n"/>
      <c r="AG74" s="351" t="n"/>
      <c r="AH74" s="351" t="n"/>
      <c r="AI74" s="351" t="n"/>
      <c r="AJ74" s="351" t="n"/>
      <c r="AK74" s="351" t="n"/>
      <c r="AL74" s="351" t="n"/>
      <c r="AM74" s="351" t="n"/>
      <c r="AN74" s="351" t="n"/>
      <c r="AO74" s="351" t="n"/>
      <c r="AP74" s="351" t="n"/>
      <c r="AQ74" s="351" t="n"/>
      <c r="AR74" s="351" t="n"/>
      <c r="AS74" s="351" t="n"/>
      <c r="AT74" s="351" t="n"/>
      <c r="AU74" s="351" t="n"/>
      <c r="AV74" s="351" t="n"/>
      <c r="AW74" s="351" t="n"/>
      <c r="AX74" s="351" t="n"/>
      <c r="AY74" s="351" t="n"/>
      <c r="AZ74" s="351" t="n"/>
      <c r="BA74" s="351" t="n"/>
      <c r="BB74" s="351" t="n"/>
      <c r="BC74" s="351" t="n"/>
      <c r="BD74" s="351" t="n"/>
      <c r="BE74" s="351" t="n"/>
      <c r="BF74" s="351" t="n"/>
      <c r="BG74" s="351" t="n"/>
      <c r="BH74" s="350">
        <f>SUM(E74:BG74)</f>
        <v/>
      </c>
      <c r="CO74" s="352" t="n"/>
    </row>
    <row r="75" ht="13.9" customHeight="1" s="276">
      <c r="A75" s="48">
        <f>A74+1</f>
        <v/>
      </c>
      <c r="B75" s="277" t="inlineStr">
        <is>
          <t>Giulia Pimentel Cia Koike</t>
        </is>
      </c>
      <c r="C75" s="257" t="n"/>
      <c r="D75" s="255" t="n"/>
      <c r="E75" s="351" t="n">
        <v>1625</v>
      </c>
      <c r="F75" s="351" t="n">
        <v>1625</v>
      </c>
      <c r="G75" s="351" t="n">
        <v>1625</v>
      </c>
      <c r="H75" s="351" t="n">
        <v>1625</v>
      </c>
      <c r="I75" s="351" t="n">
        <v>1625</v>
      </c>
      <c r="J75" s="351" t="n">
        <v>1625</v>
      </c>
      <c r="K75" s="351" t="n">
        <v>1625</v>
      </c>
      <c r="L75" s="351" t="n">
        <v>1625</v>
      </c>
      <c r="M75" s="351" t="n">
        <v>1625</v>
      </c>
      <c r="N75" s="351" t="n"/>
      <c r="O75" s="351" t="n"/>
      <c r="P75" s="351" t="n"/>
      <c r="Q75" s="351" t="n"/>
      <c r="R75" s="351" t="n"/>
      <c r="S75" s="351" t="n"/>
      <c r="T75" s="351" t="n"/>
      <c r="U75" s="351" t="n"/>
      <c r="V75" s="351" t="n"/>
      <c r="W75" s="351" t="n"/>
      <c r="X75" s="351" t="n"/>
      <c r="Y75" s="351" t="n"/>
      <c r="Z75" s="351" t="n"/>
      <c r="AA75" s="351" t="n"/>
      <c r="AB75" s="351" t="n"/>
      <c r="AC75" s="351" t="n"/>
      <c r="AD75" s="351" t="n"/>
      <c r="AE75" s="351" t="n"/>
      <c r="AF75" s="351" t="n"/>
      <c r="AG75" s="351" t="n"/>
      <c r="AH75" s="351" t="n"/>
      <c r="AI75" s="351" t="n"/>
      <c r="AJ75" s="351" t="n"/>
      <c r="AK75" s="351" t="n"/>
      <c r="AL75" s="351" t="n"/>
      <c r="AM75" s="351" t="n"/>
      <c r="AN75" s="351" t="n"/>
      <c r="AO75" s="351" t="n"/>
      <c r="AP75" s="351" t="n"/>
      <c r="AQ75" s="351" t="n"/>
      <c r="AR75" s="351" t="n"/>
      <c r="AS75" s="351" t="n"/>
      <c r="AT75" s="351" t="n"/>
      <c r="AU75" s="351" t="n"/>
      <c r="AV75" s="351" t="n"/>
      <c r="AW75" s="351" t="n"/>
      <c r="AX75" s="351" t="n"/>
      <c r="AY75" s="351" t="n"/>
      <c r="AZ75" s="351" t="n"/>
      <c r="BA75" s="351" t="n"/>
      <c r="BB75" s="351" t="n"/>
      <c r="BC75" s="351" t="n"/>
      <c r="BD75" s="351" t="n"/>
      <c r="BE75" s="351" t="n"/>
      <c r="BF75" s="351" t="n"/>
      <c r="BG75" s="351" t="n"/>
      <c r="BH75" s="350">
        <f>SUM(E75:BG75)</f>
        <v/>
      </c>
      <c r="CO75" s="352" t="n"/>
    </row>
    <row r="76" ht="13.9" customHeight="1" s="276">
      <c r="A76" s="48">
        <f>A75+1</f>
        <v/>
      </c>
      <c r="B76" s="277" t="inlineStr">
        <is>
          <t>Ian Rick das Neves Lima</t>
        </is>
      </c>
      <c r="C76" s="257" t="n"/>
      <c r="D76" s="255" t="n"/>
      <c r="E76" s="351" t="n">
        <v>1050</v>
      </c>
      <c r="F76" s="351" t="n">
        <v>1050</v>
      </c>
      <c r="G76" s="351" t="n">
        <v>1050</v>
      </c>
      <c r="H76" s="351" t="n">
        <v>1050</v>
      </c>
      <c r="I76" s="351" t="n">
        <v>1050</v>
      </c>
      <c r="J76" s="351" t="n">
        <v>1050</v>
      </c>
      <c r="K76" s="351" t="n">
        <v>1050</v>
      </c>
      <c r="L76" s="351" t="n">
        <v>1050</v>
      </c>
      <c r="M76" s="351" t="n">
        <v>1050</v>
      </c>
      <c r="N76" s="351" t="n"/>
      <c r="O76" s="351" t="n"/>
      <c r="P76" s="351" t="n"/>
      <c r="Q76" s="351" t="n"/>
      <c r="R76" s="351" t="n"/>
      <c r="S76" s="351" t="n"/>
      <c r="T76" s="351" t="n"/>
      <c r="U76" s="351" t="n"/>
      <c r="V76" s="351" t="n"/>
      <c r="W76" s="351" t="n"/>
      <c r="X76" s="351" t="n"/>
      <c r="Y76" s="351" t="n"/>
      <c r="Z76" s="351" t="n"/>
      <c r="AA76" s="351" t="n"/>
      <c r="AB76" s="351" t="n"/>
      <c r="AC76" s="351" t="n"/>
      <c r="AD76" s="351" t="n"/>
      <c r="AE76" s="351" t="n"/>
      <c r="AF76" s="351" t="n"/>
      <c r="AG76" s="351" t="n"/>
      <c r="AH76" s="351" t="n"/>
      <c r="AI76" s="351" t="n"/>
      <c r="AJ76" s="351" t="n"/>
      <c r="AK76" s="351" t="n"/>
      <c r="AL76" s="351" t="n"/>
      <c r="AM76" s="351" t="n"/>
      <c r="AN76" s="351" t="n"/>
      <c r="AO76" s="351" t="n"/>
      <c r="AP76" s="351" t="n"/>
      <c r="AQ76" s="351" t="n"/>
      <c r="AR76" s="351" t="n"/>
      <c r="AS76" s="351" t="n"/>
      <c r="AT76" s="351" t="n"/>
      <c r="AU76" s="351" t="n"/>
      <c r="AV76" s="351" t="n"/>
      <c r="AW76" s="351" t="n"/>
      <c r="AX76" s="351" t="n"/>
      <c r="AY76" s="351" t="n"/>
      <c r="AZ76" s="351" t="n"/>
      <c r="BA76" s="351" t="n"/>
      <c r="BB76" s="351" t="n"/>
      <c r="BC76" s="351" t="n"/>
      <c r="BD76" s="351" t="n"/>
      <c r="BE76" s="351" t="n"/>
      <c r="BF76" s="351" t="n"/>
      <c r="BG76" s="351" t="n"/>
      <c r="BH76" s="350">
        <f>SUM(E76:BG76)</f>
        <v/>
      </c>
      <c r="CO76" s="352" t="n"/>
    </row>
    <row r="77" ht="13.9" customHeight="1" s="276">
      <c r="A77" s="48">
        <f>A76+1</f>
        <v/>
      </c>
      <c r="B77" s="277" t="inlineStr">
        <is>
          <t>Iara Carolini Pinheiro</t>
        </is>
      </c>
      <c r="C77" s="257" t="n"/>
      <c r="D77" s="255" t="n"/>
      <c r="E77" s="351" t="n">
        <v>3200</v>
      </c>
      <c r="F77" s="351" t="n">
        <v>3200</v>
      </c>
      <c r="G77" s="351" t="n">
        <v>3200</v>
      </c>
      <c r="H77" s="351" t="n">
        <v>3200</v>
      </c>
      <c r="I77" s="351" t="n">
        <v>3200</v>
      </c>
      <c r="J77" s="351" t="n">
        <v>3200</v>
      </c>
      <c r="K77" s="351" t="n">
        <v>3200</v>
      </c>
      <c r="L77" s="351" t="n">
        <v>3200</v>
      </c>
      <c r="M77" s="351" t="n">
        <v>3200</v>
      </c>
      <c r="N77" s="351" t="n"/>
      <c r="O77" s="351" t="n"/>
      <c r="P77" s="351" t="n"/>
      <c r="Q77" s="351" t="n"/>
      <c r="R77" s="351" t="n"/>
      <c r="S77" s="351" t="n"/>
      <c r="T77" s="351" t="n"/>
      <c r="U77" s="351" t="n"/>
      <c r="V77" s="351" t="n"/>
      <c r="W77" s="351" t="n"/>
      <c r="X77" s="351" t="n"/>
      <c r="Y77" s="351" t="n"/>
      <c r="Z77" s="351" t="n"/>
      <c r="AA77" s="351" t="n"/>
      <c r="AB77" s="351" t="n"/>
      <c r="AC77" s="351" t="n"/>
      <c r="AD77" s="351" t="n"/>
      <c r="AE77" s="351" t="n"/>
      <c r="AF77" s="351" t="n"/>
      <c r="AG77" s="351" t="n"/>
      <c r="AH77" s="351" t="n"/>
      <c r="AI77" s="351" t="n"/>
      <c r="AJ77" s="351" t="n"/>
      <c r="AK77" s="351" t="n"/>
      <c r="AL77" s="351" t="n"/>
      <c r="AM77" s="351" t="n"/>
      <c r="AN77" s="351" t="n"/>
      <c r="AO77" s="351" t="n"/>
      <c r="AP77" s="351" t="n"/>
      <c r="AQ77" s="351" t="n"/>
      <c r="AR77" s="351" t="n"/>
      <c r="AS77" s="351" t="n"/>
      <c r="AT77" s="351" t="n"/>
      <c r="AU77" s="351" t="n"/>
      <c r="AV77" s="351" t="n"/>
      <c r="AW77" s="351" t="n"/>
      <c r="AX77" s="351" t="n"/>
      <c r="AY77" s="351" t="n"/>
      <c r="AZ77" s="351" t="n"/>
      <c r="BA77" s="351" t="n"/>
      <c r="BB77" s="351" t="n"/>
      <c r="BC77" s="351" t="n"/>
      <c r="BD77" s="351" t="n"/>
      <c r="BE77" s="351" t="n"/>
      <c r="BF77" s="351" t="n"/>
      <c r="BG77" s="351" t="n"/>
      <c r="BH77" s="350">
        <f>SUM(E77:BG77)</f>
        <v/>
      </c>
      <c r="CO77" s="352" t="n"/>
    </row>
    <row r="78" ht="13.9" customHeight="1" s="276">
      <c r="A78" s="48">
        <f>A77+1</f>
        <v/>
      </c>
      <c r="B78" s="277" t="inlineStr">
        <is>
          <t>Igor Bombassaro Suzin</t>
        </is>
      </c>
      <c r="C78" s="257" t="n"/>
      <c r="D78" s="255" t="n"/>
      <c r="E78" s="351" t="n">
        <v>1050</v>
      </c>
      <c r="F78" s="351" t="n">
        <v>1050</v>
      </c>
      <c r="G78" s="351" t="n">
        <v>1050</v>
      </c>
      <c r="H78" s="351" t="n">
        <v>1050</v>
      </c>
      <c r="I78" s="351" t="n">
        <v>1050</v>
      </c>
      <c r="J78" s="351" t="n">
        <v>1050</v>
      </c>
      <c r="K78" s="351" t="n">
        <v>1050</v>
      </c>
      <c r="L78" s="351" t="n">
        <v>1050</v>
      </c>
      <c r="M78" s="351" t="n">
        <v>1050</v>
      </c>
      <c r="N78" s="351" t="n"/>
      <c r="O78" s="351" t="n"/>
      <c r="P78" s="351" t="n"/>
      <c r="Q78" s="351" t="n"/>
      <c r="R78" s="351" t="n"/>
      <c r="S78" s="351" t="n"/>
      <c r="T78" s="351" t="n"/>
      <c r="U78" s="351" t="n"/>
      <c r="V78" s="351" t="n"/>
      <c r="W78" s="351" t="n"/>
      <c r="X78" s="351" t="n"/>
      <c r="Y78" s="351" t="n"/>
      <c r="Z78" s="351" t="n"/>
      <c r="AA78" s="351" t="n"/>
      <c r="AB78" s="351" t="n"/>
      <c r="AC78" s="351" t="n"/>
      <c r="AD78" s="351" t="n"/>
      <c r="AE78" s="351" t="n"/>
      <c r="AF78" s="351" t="n"/>
      <c r="AG78" s="351" t="n"/>
      <c r="AH78" s="351" t="n"/>
      <c r="AI78" s="351" t="n"/>
      <c r="AJ78" s="351" t="n"/>
      <c r="AK78" s="351" t="n"/>
      <c r="AL78" s="351" t="n"/>
      <c r="AM78" s="351" t="n"/>
      <c r="AN78" s="351" t="n"/>
      <c r="AO78" s="351" t="n"/>
      <c r="AP78" s="351" t="n"/>
      <c r="AQ78" s="351" t="n"/>
      <c r="AR78" s="351" t="n"/>
      <c r="AS78" s="351" t="n"/>
      <c r="AT78" s="351" t="n"/>
      <c r="AU78" s="351" t="n"/>
      <c r="AV78" s="351" t="n"/>
      <c r="AW78" s="351" t="n"/>
      <c r="AX78" s="351" t="n"/>
      <c r="AY78" s="351" t="n"/>
      <c r="AZ78" s="351" t="n"/>
      <c r="BA78" s="351" t="n"/>
      <c r="BB78" s="351" t="n"/>
      <c r="BC78" s="351" t="n"/>
      <c r="BD78" s="351" t="n"/>
      <c r="BE78" s="351" t="n"/>
      <c r="BF78" s="351" t="n"/>
      <c r="BG78" s="351" t="n"/>
      <c r="BH78" s="350">
        <f>SUM(E78:BG78)</f>
        <v/>
      </c>
      <c r="CO78" s="352" t="n"/>
    </row>
    <row r="79" ht="13.9" customHeight="1" s="276">
      <c r="A79" s="48">
        <f>A78+1</f>
        <v/>
      </c>
      <c r="B79" s="277" t="inlineStr">
        <is>
          <t>Isadora Waltrick</t>
        </is>
      </c>
      <c r="C79" s="257" t="n"/>
      <c r="D79" s="255" t="n"/>
      <c r="E79" s="351" t="n">
        <v>1050</v>
      </c>
      <c r="F79" s="351" t="n">
        <v>1050</v>
      </c>
      <c r="G79" s="351" t="n">
        <v>1050</v>
      </c>
      <c r="H79" s="351" t="n">
        <v>1050</v>
      </c>
      <c r="I79" s="351" t="n">
        <v>1050</v>
      </c>
      <c r="J79" s="351" t="n">
        <v>1050</v>
      </c>
      <c r="K79" s="351" t="n">
        <v>1050</v>
      </c>
      <c r="L79" s="351" t="n">
        <v>1050</v>
      </c>
      <c r="M79" s="351" t="n">
        <v>1050</v>
      </c>
      <c r="N79" s="351" t="n"/>
      <c r="O79" s="351" t="n"/>
      <c r="P79" s="351" t="n"/>
      <c r="Q79" s="351" t="n"/>
      <c r="R79" s="351" t="n"/>
      <c r="S79" s="351" t="n"/>
      <c r="T79" s="351" t="n"/>
      <c r="U79" s="351" t="n"/>
      <c r="V79" s="351" t="n"/>
      <c r="W79" s="351" t="n"/>
      <c r="X79" s="351" t="n"/>
      <c r="Y79" s="351" t="n"/>
      <c r="Z79" s="351" t="n"/>
      <c r="AA79" s="351" t="n"/>
      <c r="AB79" s="351" t="n"/>
      <c r="AC79" s="351" t="n"/>
      <c r="AD79" s="351" t="n"/>
      <c r="AE79" s="351" t="n"/>
      <c r="AF79" s="351" t="n"/>
      <c r="AG79" s="351" t="n"/>
      <c r="AH79" s="351" t="n"/>
      <c r="AI79" s="351" t="n"/>
      <c r="AJ79" s="351" t="n"/>
      <c r="AK79" s="351" t="n"/>
      <c r="AL79" s="351" t="n"/>
      <c r="AM79" s="351" t="n"/>
      <c r="AN79" s="351" t="n"/>
      <c r="AO79" s="351" t="n"/>
      <c r="AP79" s="351" t="n"/>
      <c r="AQ79" s="351" t="n"/>
      <c r="AR79" s="351" t="n"/>
      <c r="AS79" s="351" t="n"/>
      <c r="AT79" s="351" t="n"/>
      <c r="AU79" s="351" t="n"/>
      <c r="AV79" s="351" t="n"/>
      <c r="AW79" s="351" t="n"/>
      <c r="AX79" s="351" t="n"/>
      <c r="AY79" s="351" t="n"/>
      <c r="AZ79" s="351" t="n"/>
      <c r="BA79" s="351" t="n"/>
      <c r="BB79" s="351" t="n"/>
      <c r="BC79" s="351" t="n"/>
      <c r="BD79" s="351" t="n"/>
      <c r="BE79" s="351" t="n"/>
      <c r="BF79" s="351" t="n"/>
      <c r="BG79" s="351" t="n"/>
      <c r="BH79" s="350">
        <f>SUM(E79:BG79)</f>
        <v/>
      </c>
      <c r="CO79" s="352" t="n"/>
    </row>
    <row r="80" ht="13.9" customHeight="1" s="276">
      <c r="A80" s="48">
        <f>A79+1</f>
        <v/>
      </c>
      <c r="B80" s="277" t="inlineStr">
        <is>
          <t>Jhenifer Carolione Santos Schmidt Hebbel</t>
        </is>
      </c>
      <c r="C80" s="257" t="n"/>
      <c r="D80" s="255" t="n"/>
      <c r="E80" s="351" t="n">
        <v>1050</v>
      </c>
      <c r="F80" s="351" t="n">
        <v>1050</v>
      </c>
      <c r="G80" s="351" t="n">
        <v>1050</v>
      </c>
      <c r="H80" s="351" t="n"/>
      <c r="I80" s="351" t="n"/>
      <c r="J80" s="351" t="n"/>
      <c r="K80" s="351" t="n"/>
      <c r="L80" s="351" t="n"/>
      <c r="M80" s="351" t="n"/>
      <c r="N80" s="351" t="n"/>
      <c r="O80" s="351" t="n"/>
      <c r="P80" s="351" t="n"/>
      <c r="Q80" s="351" t="n"/>
      <c r="R80" s="351" t="n"/>
      <c r="S80" s="351" t="n"/>
      <c r="T80" s="351" t="n"/>
      <c r="U80" s="351" t="n"/>
      <c r="V80" s="351" t="n"/>
      <c r="W80" s="351" t="n"/>
      <c r="X80" s="351" t="n"/>
      <c r="Y80" s="351" t="n"/>
      <c r="Z80" s="351" t="n"/>
      <c r="AA80" s="351" t="n"/>
      <c r="AB80" s="351" t="n"/>
      <c r="AC80" s="351" t="n"/>
      <c r="AD80" s="351" t="n"/>
      <c r="AE80" s="351" t="n"/>
      <c r="AF80" s="351" t="n"/>
      <c r="AG80" s="351" t="n"/>
      <c r="AH80" s="351" t="n"/>
      <c r="AI80" s="351" t="n"/>
      <c r="AJ80" s="351" t="n"/>
      <c r="AK80" s="351" t="n"/>
      <c r="AL80" s="351" t="n"/>
      <c r="AM80" s="351" t="n"/>
      <c r="AN80" s="351" t="n"/>
      <c r="AO80" s="351" t="n"/>
      <c r="AP80" s="351" t="n"/>
      <c r="AQ80" s="351" t="n"/>
      <c r="AR80" s="351" t="n"/>
      <c r="AS80" s="351" t="n"/>
      <c r="AT80" s="351" t="n"/>
      <c r="AU80" s="351" t="n"/>
      <c r="AV80" s="351" t="n"/>
      <c r="AW80" s="351" t="n"/>
      <c r="AX80" s="351" t="n"/>
      <c r="AY80" s="351" t="n"/>
      <c r="AZ80" s="351" t="n"/>
      <c r="BA80" s="351" t="n"/>
      <c r="BB80" s="351" t="n"/>
      <c r="BC80" s="351" t="n"/>
      <c r="BD80" s="351" t="n"/>
      <c r="BE80" s="351" t="n"/>
      <c r="BF80" s="351" t="n"/>
      <c r="BG80" s="351" t="n"/>
      <c r="BH80" s="350">
        <f>SUM(E80:BG80)</f>
        <v/>
      </c>
      <c r="CO80" s="352" t="n"/>
    </row>
    <row r="81" ht="13.9" customHeight="1" s="276">
      <c r="A81" s="48">
        <f>A80+1</f>
        <v/>
      </c>
      <c r="B81" s="277" t="inlineStr">
        <is>
          <t>João Lucas De Siqueira Rosa</t>
        </is>
      </c>
      <c r="C81" s="257" t="n"/>
      <c r="D81" s="255" t="n"/>
      <c r="E81" s="351" t="n">
        <v>2000</v>
      </c>
      <c r="F81" s="351" t="n">
        <v>2000</v>
      </c>
      <c r="G81" s="351" t="n">
        <v>2000</v>
      </c>
      <c r="H81" s="351" t="n">
        <v>2000</v>
      </c>
      <c r="I81" s="351" t="n"/>
      <c r="J81" s="351" t="n"/>
      <c r="K81" s="351" t="n"/>
      <c r="L81" s="351" t="n"/>
      <c r="M81" s="351" t="n"/>
      <c r="N81" s="351" t="n"/>
      <c r="O81" s="351" t="n"/>
      <c r="P81" s="351" t="n"/>
      <c r="Q81" s="351" t="n"/>
      <c r="R81" s="351" t="n"/>
      <c r="S81" s="351" t="n"/>
      <c r="T81" s="351" t="n"/>
      <c r="U81" s="351" t="n"/>
      <c r="V81" s="351" t="n"/>
      <c r="W81" s="351" t="n"/>
      <c r="X81" s="351" t="n"/>
      <c r="Y81" s="351" t="n"/>
      <c r="Z81" s="351" t="n"/>
      <c r="AA81" s="351" t="n"/>
      <c r="AB81" s="351" t="n"/>
      <c r="AC81" s="351" t="n"/>
      <c r="AD81" s="351" t="n"/>
      <c r="AE81" s="351" t="n"/>
      <c r="AF81" s="351" t="n"/>
      <c r="AG81" s="351" t="n"/>
      <c r="AH81" s="351" t="n"/>
      <c r="AI81" s="351" t="n"/>
      <c r="AJ81" s="351" t="n"/>
      <c r="AK81" s="351" t="n"/>
      <c r="AL81" s="351" t="n"/>
      <c r="AM81" s="351" t="n"/>
      <c r="AN81" s="351" t="n"/>
      <c r="AO81" s="351" t="n"/>
      <c r="AP81" s="351" t="n"/>
      <c r="AQ81" s="351" t="n"/>
      <c r="AR81" s="351" t="n"/>
      <c r="AS81" s="351" t="n"/>
      <c r="AT81" s="351" t="n"/>
      <c r="AU81" s="351" t="n"/>
      <c r="AV81" s="351" t="n"/>
      <c r="AW81" s="351" t="n"/>
      <c r="AX81" s="351" t="n"/>
      <c r="AY81" s="351" t="n"/>
      <c r="AZ81" s="351" t="n"/>
      <c r="BA81" s="351" t="n"/>
      <c r="BB81" s="351" t="n"/>
      <c r="BC81" s="351" t="n"/>
      <c r="BD81" s="351" t="n"/>
      <c r="BE81" s="351" t="n"/>
      <c r="BF81" s="351" t="n"/>
      <c r="BG81" s="351" t="n"/>
      <c r="BH81" s="350">
        <f>SUM(E81:BG81)</f>
        <v/>
      </c>
      <c r="CO81" s="352" t="n"/>
    </row>
    <row r="82" ht="13.9" customHeight="1" s="276">
      <c r="A82" s="48">
        <f>A81+1</f>
        <v/>
      </c>
      <c r="B82" s="277" t="inlineStr">
        <is>
          <t>Julia Fernanda Mafra Menger</t>
        </is>
      </c>
      <c r="C82" s="257" t="n"/>
      <c r="D82" s="255" t="n"/>
      <c r="E82" s="351" t="n">
        <v>1050</v>
      </c>
      <c r="F82" s="351" t="n">
        <v>1050</v>
      </c>
      <c r="G82" s="351" t="n">
        <v>1050</v>
      </c>
      <c r="H82" s="351" t="n">
        <v>1050</v>
      </c>
      <c r="I82" s="351" t="n">
        <v>1050</v>
      </c>
      <c r="J82" s="351" t="n">
        <v>1050</v>
      </c>
      <c r="K82" s="351" t="n">
        <v>1050</v>
      </c>
      <c r="L82" s="351" t="n">
        <v>1050</v>
      </c>
      <c r="M82" s="351" t="n">
        <v>1050</v>
      </c>
      <c r="N82" s="351" t="n"/>
      <c r="O82" s="351" t="n"/>
      <c r="P82" s="351" t="n"/>
      <c r="Q82" s="351" t="n"/>
      <c r="R82" s="351" t="n"/>
      <c r="S82" s="351" t="n"/>
      <c r="T82" s="351" t="n"/>
      <c r="U82" s="351" t="n"/>
      <c r="V82" s="351" t="n"/>
      <c r="W82" s="351" t="n"/>
      <c r="X82" s="351" t="n"/>
      <c r="Y82" s="351" t="n"/>
      <c r="Z82" s="351" t="n"/>
      <c r="AA82" s="351" t="n"/>
      <c r="AB82" s="351" t="n"/>
      <c r="AC82" s="351" t="n"/>
      <c r="AD82" s="351" t="n"/>
      <c r="AE82" s="351" t="n"/>
      <c r="AF82" s="351" t="n"/>
      <c r="AG82" s="351" t="n"/>
      <c r="AH82" s="351" t="n"/>
      <c r="AI82" s="351" t="n"/>
      <c r="AJ82" s="351" t="n"/>
      <c r="AK82" s="351" t="n"/>
      <c r="AL82" s="351" t="n"/>
      <c r="AM82" s="351" t="n"/>
      <c r="AN82" s="351" t="n"/>
      <c r="AO82" s="351" t="n"/>
      <c r="AP82" s="351" t="n"/>
      <c r="AQ82" s="351" t="n"/>
      <c r="AR82" s="351" t="n"/>
      <c r="AS82" s="351" t="n"/>
      <c r="AT82" s="351" t="n"/>
      <c r="AU82" s="351" t="n"/>
      <c r="AV82" s="351" t="n"/>
      <c r="AW82" s="351" t="n"/>
      <c r="AX82" s="351" t="n"/>
      <c r="AY82" s="351" t="n"/>
      <c r="AZ82" s="351" t="n"/>
      <c r="BA82" s="351" t="n"/>
      <c r="BB82" s="351" t="n"/>
      <c r="BC82" s="351" t="n"/>
      <c r="BD82" s="351" t="n"/>
      <c r="BE82" s="351" t="n"/>
      <c r="BF82" s="351" t="n"/>
      <c r="BG82" s="351" t="n"/>
      <c r="BH82" s="350">
        <f>SUM(E82:BG82)</f>
        <v/>
      </c>
      <c r="CO82" s="352" t="n"/>
    </row>
    <row r="83" ht="13.9" customHeight="1" s="276">
      <c r="A83" s="48">
        <f>A82+1</f>
        <v/>
      </c>
      <c r="B83" s="277" t="inlineStr">
        <is>
          <t>Júlia Martins Prudêncio</t>
        </is>
      </c>
      <c r="C83" s="257" t="n"/>
      <c r="D83" s="255" t="n"/>
      <c r="E83" s="351" t="n">
        <v>1050</v>
      </c>
      <c r="F83" s="351" t="n">
        <v>1050</v>
      </c>
      <c r="G83" s="351" t="n">
        <v>1050</v>
      </c>
      <c r="H83" s="351" t="n">
        <v>1050</v>
      </c>
      <c r="I83" s="351" t="n">
        <v>1050</v>
      </c>
      <c r="J83" s="351" t="n">
        <v>1050</v>
      </c>
      <c r="K83" s="351" t="n">
        <v>1050</v>
      </c>
      <c r="L83" s="351" t="n">
        <v>1050</v>
      </c>
      <c r="M83" s="351" t="n">
        <v>1050</v>
      </c>
      <c r="N83" s="351" t="n"/>
      <c r="O83" s="351" t="n"/>
      <c r="P83" s="351" t="n"/>
      <c r="Q83" s="351" t="n"/>
      <c r="R83" s="351" t="n"/>
      <c r="S83" s="351" t="n"/>
      <c r="T83" s="351" t="n"/>
      <c r="U83" s="351" t="n"/>
      <c r="V83" s="351" t="n"/>
      <c r="W83" s="351" t="n"/>
      <c r="X83" s="351" t="n"/>
      <c r="Y83" s="351" t="n"/>
      <c r="Z83" s="351" t="n"/>
      <c r="AA83" s="351" t="n"/>
      <c r="AB83" s="351" t="n"/>
      <c r="AC83" s="351" t="n"/>
      <c r="AD83" s="351" t="n"/>
      <c r="AE83" s="351" t="n"/>
      <c r="AF83" s="351" t="n"/>
      <c r="AG83" s="351" t="n"/>
      <c r="AH83" s="351" t="n"/>
      <c r="AI83" s="351" t="n"/>
      <c r="AJ83" s="351" t="n"/>
      <c r="AK83" s="351" t="n"/>
      <c r="AL83" s="351" t="n"/>
      <c r="AM83" s="351" t="n"/>
      <c r="AN83" s="351" t="n"/>
      <c r="AO83" s="351" t="n"/>
      <c r="AP83" s="351" t="n"/>
      <c r="AQ83" s="351" t="n"/>
      <c r="AR83" s="351" t="n"/>
      <c r="AS83" s="351" t="n"/>
      <c r="AT83" s="351" t="n"/>
      <c r="AU83" s="351" t="n"/>
      <c r="AV83" s="351" t="n"/>
      <c r="AW83" s="351" t="n"/>
      <c r="AX83" s="351" t="n"/>
      <c r="AY83" s="351" t="n"/>
      <c r="AZ83" s="351" t="n"/>
      <c r="BA83" s="351" t="n"/>
      <c r="BB83" s="351" t="n"/>
      <c r="BC83" s="351" t="n"/>
      <c r="BD83" s="351" t="n"/>
      <c r="BE83" s="351" t="n"/>
      <c r="BF83" s="351" t="n"/>
      <c r="BG83" s="351" t="n"/>
      <c r="BH83" s="350">
        <f>SUM(E83:BG83)</f>
        <v/>
      </c>
      <c r="CO83" s="352" t="n"/>
    </row>
    <row r="84" ht="13.9" customHeight="1" s="276">
      <c r="A84" s="48">
        <f>A83+1</f>
        <v/>
      </c>
      <c r="B84" s="277" t="inlineStr">
        <is>
          <t>Laiara Machado Serafim</t>
        </is>
      </c>
      <c r="C84" s="257" t="n"/>
      <c r="D84" s="255" t="n"/>
      <c r="E84" s="351" t="n">
        <v>2200</v>
      </c>
      <c r="F84" s="351" t="n">
        <v>2200</v>
      </c>
      <c r="G84" s="351" t="n">
        <v>2200</v>
      </c>
      <c r="H84" s="351" t="n">
        <v>2200</v>
      </c>
      <c r="I84" s="351" t="n">
        <v>2200</v>
      </c>
      <c r="J84" s="351" t="n">
        <v>2200</v>
      </c>
      <c r="K84" s="351" t="n">
        <v>2200</v>
      </c>
      <c r="L84" s="351" t="n">
        <v>2200</v>
      </c>
      <c r="M84" s="351" t="n">
        <v>2200</v>
      </c>
      <c r="N84" s="351" t="n"/>
      <c r="O84" s="351" t="n"/>
      <c r="P84" s="351" t="n"/>
      <c r="Q84" s="351" t="n"/>
      <c r="R84" s="351" t="n"/>
      <c r="S84" s="351" t="n"/>
      <c r="T84" s="351" t="n"/>
      <c r="U84" s="351" t="n"/>
      <c r="V84" s="351" t="n"/>
      <c r="W84" s="351" t="n"/>
      <c r="X84" s="351" t="n"/>
      <c r="Y84" s="351" t="n"/>
      <c r="Z84" s="351" t="n"/>
      <c r="AA84" s="351" t="n"/>
      <c r="AB84" s="351" t="n"/>
      <c r="AC84" s="351" t="n"/>
      <c r="AD84" s="351" t="n"/>
      <c r="AE84" s="351" t="n"/>
      <c r="AF84" s="351" t="n"/>
      <c r="AG84" s="351" t="n"/>
      <c r="AH84" s="351" t="n"/>
      <c r="AI84" s="351" t="n"/>
      <c r="AJ84" s="351" t="n"/>
      <c r="AK84" s="351" t="n"/>
      <c r="AL84" s="351" t="n"/>
      <c r="AM84" s="351" t="n"/>
      <c r="AN84" s="351" t="n"/>
      <c r="AO84" s="351" t="n"/>
      <c r="AP84" s="351" t="n"/>
      <c r="AQ84" s="351" t="n"/>
      <c r="AR84" s="351" t="n"/>
      <c r="AS84" s="351" t="n"/>
      <c r="AT84" s="351" t="n"/>
      <c r="AU84" s="351" t="n"/>
      <c r="AV84" s="351" t="n"/>
      <c r="AW84" s="351" t="n"/>
      <c r="AX84" s="351" t="n"/>
      <c r="AY84" s="351" t="n"/>
      <c r="AZ84" s="351" t="n"/>
      <c r="BA84" s="351" t="n"/>
      <c r="BB84" s="351" t="n"/>
      <c r="BC84" s="351" t="n"/>
      <c r="BD84" s="351" t="n"/>
      <c r="BE84" s="351" t="n"/>
      <c r="BF84" s="351" t="n"/>
      <c r="BG84" s="351" t="n"/>
      <c r="BH84" s="350">
        <f>SUM(E84:BG84)</f>
        <v/>
      </c>
      <c r="CO84" s="352" t="n"/>
    </row>
    <row r="85" ht="13.9" customHeight="1" s="276">
      <c r="A85" s="48">
        <f>A84+1</f>
        <v/>
      </c>
      <c r="B85" s="277" t="inlineStr">
        <is>
          <t>Lucas de Medeiros Gomes Matuo</t>
        </is>
      </c>
      <c r="C85" s="257" t="n"/>
      <c r="D85" s="255" t="n"/>
      <c r="E85" s="351" t="n">
        <v>1050</v>
      </c>
      <c r="F85" s="351" t="n">
        <v>1050</v>
      </c>
      <c r="G85" s="351" t="n">
        <v>1050</v>
      </c>
      <c r="H85" s="351" t="n">
        <v>1050</v>
      </c>
      <c r="I85" s="351" t="n">
        <v>1050</v>
      </c>
      <c r="J85" s="351" t="n">
        <v>1050</v>
      </c>
      <c r="K85" s="351" t="n">
        <v>1050</v>
      </c>
      <c r="L85" s="351" t="n">
        <v>1050</v>
      </c>
      <c r="M85" s="351" t="n">
        <v>1050</v>
      </c>
      <c r="N85" s="351" t="n"/>
      <c r="O85" s="351" t="n"/>
      <c r="P85" s="351" t="n"/>
      <c r="Q85" s="351" t="n"/>
      <c r="R85" s="351" t="n"/>
      <c r="S85" s="351" t="n"/>
      <c r="T85" s="351" t="n"/>
      <c r="U85" s="351" t="n"/>
      <c r="V85" s="351" t="n"/>
      <c r="W85" s="351" t="n"/>
      <c r="X85" s="351" t="n"/>
      <c r="Y85" s="351" t="n"/>
      <c r="Z85" s="351" t="n"/>
      <c r="AA85" s="351" t="n"/>
      <c r="AB85" s="351" t="n"/>
      <c r="AC85" s="351" t="n"/>
      <c r="AD85" s="351" t="n"/>
      <c r="AE85" s="351" t="n"/>
      <c r="AF85" s="351" t="n"/>
      <c r="AG85" s="351" t="n"/>
      <c r="AH85" s="351" t="n"/>
      <c r="AI85" s="351" t="n"/>
      <c r="AJ85" s="351" t="n"/>
      <c r="AK85" s="351" t="n"/>
      <c r="AL85" s="351" t="n"/>
      <c r="AM85" s="351" t="n"/>
      <c r="AN85" s="351" t="n"/>
      <c r="AO85" s="351" t="n"/>
      <c r="AP85" s="351" t="n"/>
      <c r="AQ85" s="351" t="n"/>
      <c r="AR85" s="351" t="n"/>
      <c r="AS85" s="351" t="n"/>
      <c r="AT85" s="351" t="n"/>
      <c r="AU85" s="351" t="n"/>
      <c r="AV85" s="351" t="n"/>
      <c r="AW85" s="351" t="n"/>
      <c r="AX85" s="351" t="n"/>
      <c r="AY85" s="351" t="n"/>
      <c r="AZ85" s="351" t="n"/>
      <c r="BA85" s="351" t="n"/>
      <c r="BB85" s="351" t="n"/>
      <c r="BC85" s="351" t="n"/>
      <c r="BD85" s="351" t="n"/>
      <c r="BE85" s="351" t="n"/>
      <c r="BF85" s="351" t="n"/>
      <c r="BG85" s="351" t="n"/>
      <c r="BH85" s="350">
        <f>SUM(E85:BG85)</f>
        <v/>
      </c>
      <c r="CO85" s="352" t="n"/>
    </row>
    <row r="86" ht="13.9" customHeight="1" s="276">
      <c r="A86" s="48">
        <f>A85+1</f>
        <v/>
      </c>
      <c r="B86" s="277" t="inlineStr">
        <is>
          <t>Lucas Lorival Machado</t>
        </is>
      </c>
      <c r="C86" s="257" t="n"/>
      <c r="D86" s="255" t="n"/>
      <c r="E86" s="351" t="n">
        <v>1050</v>
      </c>
      <c r="F86" s="351" t="n">
        <v>1050</v>
      </c>
      <c r="G86" s="351" t="n">
        <v>1050</v>
      </c>
      <c r="H86" s="351" t="n">
        <v>1050</v>
      </c>
      <c r="I86" s="351" t="n">
        <v>1050</v>
      </c>
      <c r="J86" s="351" t="n">
        <v>1050</v>
      </c>
      <c r="K86" s="351" t="n">
        <v>1050</v>
      </c>
      <c r="L86" s="351" t="n">
        <v>1050</v>
      </c>
      <c r="M86" s="351" t="n">
        <v>1050</v>
      </c>
      <c r="N86" s="351" t="n"/>
      <c r="O86" s="351" t="n"/>
      <c r="P86" s="351" t="n"/>
      <c r="Q86" s="351" t="n"/>
      <c r="R86" s="351" t="n"/>
      <c r="S86" s="351" t="n"/>
      <c r="T86" s="351" t="n"/>
      <c r="U86" s="351" t="n"/>
      <c r="V86" s="351" t="n"/>
      <c r="W86" s="351" t="n"/>
      <c r="X86" s="351" t="n"/>
      <c r="Y86" s="351" t="n"/>
      <c r="Z86" s="351" t="n"/>
      <c r="AA86" s="351" t="n"/>
      <c r="AB86" s="351" t="n"/>
      <c r="AC86" s="351" t="n"/>
      <c r="AD86" s="351" t="n"/>
      <c r="AE86" s="351" t="n"/>
      <c r="AF86" s="351" t="n"/>
      <c r="AG86" s="351" t="n"/>
      <c r="AH86" s="351" t="n"/>
      <c r="AI86" s="351" t="n"/>
      <c r="AJ86" s="351" t="n"/>
      <c r="AK86" s="351" t="n"/>
      <c r="AL86" s="351" t="n"/>
      <c r="AM86" s="351" t="n"/>
      <c r="AN86" s="351" t="n"/>
      <c r="AO86" s="351" t="n"/>
      <c r="AP86" s="351" t="n"/>
      <c r="AQ86" s="351" t="n"/>
      <c r="AR86" s="351" t="n"/>
      <c r="AS86" s="351" t="n"/>
      <c r="AT86" s="351" t="n"/>
      <c r="AU86" s="351" t="n"/>
      <c r="AV86" s="351" t="n"/>
      <c r="AW86" s="351" t="n"/>
      <c r="AX86" s="351" t="n"/>
      <c r="AY86" s="351" t="n"/>
      <c r="AZ86" s="351" t="n"/>
      <c r="BA86" s="351" t="n"/>
      <c r="BB86" s="351" t="n"/>
      <c r="BC86" s="351" t="n"/>
      <c r="BD86" s="351" t="n"/>
      <c r="BE86" s="351" t="n"/>
      <c r="BF86" s="351" t="n"/>
      <c r="BG86" s="351" t="n"/>
      <c r="BH86" s="350">
        <f>SUM(E86:BG86)</f>
        <v/>
      </c>
      <c r="CO86" s="352" t="n"/>
    </row>
    <row r="87" ht="13.9" customHeight="1" s="276">
      <c r="A87" s="48">
        <f>A86+1</f>
        <v/>
      </c>
      <c r="B87" s="277" t="inlineStr">
        <is>
          <t>Luciana Rohde</t>
        </is>
      </c>
      <c r="C87" s="257" t="n"/>
      <c r="D87" s="255" t="n"/>
      <c r="E87" s="351" t="n">
        <v>3000</v>
      </c>
      <c r="F87" s="351" t="n"/>
      <c r="G87" s="351" t="n"/>
      <c r="H87" s="351" t="n"/>
      <c r="I87" s="351" t="n"/>
      <c r="J87" s="351" t="n"/>
      <c r="K87" s="351" t="n"/>
      <c r="L87" s="351" t="n"/>
      <c r="M87" s="351" t="n"/>
      <c r="N87" s="351" t="n"/>
      <c r="O87" s="351" t="n"/>
      <c r="P87" s="351" t="n"/>
      <c r="Q87" s="351" t="n"/>
      <c r="R87" s="351" t="n"/>
      <c r="S87" s="351" t="n"/>
      <c r="T87" s="351" t="n"/>
      <c r="U87" s="351" t="n"/>
      <c r="V87" s="351" t="n"/>
      <c r="W87" s="351" t="n"/>
      <c r="X87" s="351" t="n"/>
      <c r="Y87" s="351" t="n"/>
      <c r="Z87" s="351" t="n"/>
      <c r="AA87" s="351" t="n"/>
      <c r="AB87" s="351" t="n"/>
      <c r="AC87" s="351" t="n"/>
      <c r="AD87" s="351" t="n"/>
      <c r="AE87" s="351" t="n"/>
      <c r="AF87" s="351" t="n"/>
      <c r="AG87" s="351" t="n"/>
      <c r="AH87" s="351" t="n"/>
      <c r="AI87" s="351" t="n"/>
      <c r="AJ87" s="351" t="n"/>
      <c r="AK87" s="351" t="n"/>
      <c r="AL87" s="351" t="n"/>
      <c r="AM87" s="351" t="n"/>
      <c r="AN87" s="351" t="n"/>
      <c r="AO87" s="351" t="n"/>
      <c r="AP87" s="351" t="n"/>
      <c r="AQ87" s="351" t="n"/>
      <c r="AR87" s="351" t="n"/>
      <c r="AS87" s="351" t="n"/>
      <c r="AT87" s="351" t="n"/>
      <c r="AU87" s="351" t="n"/>
      <c r="AV87" s="351" t="n"/>
      <c r="AW87" s="351" t="n"/>
      <c r="AX87" s="351" t="n"/>
      <c r="AY87" s="351" t="n"/>
      <c r="AZ87" s="351" t="n"/>
      <c r="BA87" s="351" t="n"/>
      <c r="BB87" s="351" t="n"/>
      <c r="BC87" s="351" t="n"/>
      <c r="BD87" s="351" t="n"/>
      <c r="BE87" s="351" t="n"/>
      <c r="BF87" s="351" t="n"/>
      <c r="BG87" s="351" t="n"/>
      <c r="BH87" s="350">
        <f>SUM(E87:BG87)</f>
        <v/>
      </c>
      <c r="CO87" s="352" t="n"/>
    </row>
    <row r="88" ht="13.9" customHeight="1" s="276">
      <c r="A88" s="48">
        <f>A87+1</f>
        <v/>
      </c>
      <c r="B88" s="277" t="inlineStr">
        <is>
          <t>Luís Henrique Da Silva Simão</t>
        </is>
      </c>
      <c r="C88" s="257" t="n"/>
      <c r="D88" s="255" t="n"/>
      <c r="E88" s="351" t="n">
        <v>1050</v>
      </c>
      <c r="F88" s="351" t="n">
        <v>1050</v>
      </c>
      <c r="G88" s="351" t="n">
        <v>1050</v>
      </c>
      <c r="H88" s="351" t="n">
        <v>1050</v>
      </c>
      <c r="I88" s="351" t="n">
        <v>1050</v>
      </c>
      <c r="J88" s="351" t="n">
        <v>1050</v>
      </c>
      <c r="K88" s="351" t="n">
        <v>1050</v>
      </c>
      <c r="L88" s="351" t="n">
        <v>1050</v>
      </c>
      <c r="M88" s="351" t="n">
        <v>1050</v>
      </c>
      <c r="N88" s="351" t="n"/>
      <c r="O88" s="351" t="n"/>
      <c r="P88" s="351" t="n"/>
      <c r="Q88" s="351" t="n"/>
      <c r="R88" s="351" t="n"/>
      <c r="S88" s="351" t="n"/>
      <c r="T88" s="351" t="n"/>
      <c r="U88" s="351" t="n"/>
      <c r="V88" s="351" t="n"/>
      <c r="W88" s="351" t="n"/>
      <c r="X88" s="351" t="n"/>
      <c r="Y88" s="351" t="n"/>
      <c r="Z88" s="351" t="n"/>
      <c r="AA88" s="351" t="n"/>
      <c r="AB88" s="351" t="n"/>
      <c r="AC88" s="351" t="n"/>
      <c r="AD88" s="351" t="n"/>
      <c r="AE88" s="351" t="n"/>
      <c r="AF88" s="351" t="n"/>
      <c r="AG88" s="351" t="n"/>
      <c r="AH88" s="351" t="n"/>
      <c r="AI88" s="351" t="n"/>
      <c r="AJ88" s="351" t="n"/>
      <c r="AK88" s="351" t="n"/>
      <c r="AL88" s="351" t="n"/>
      <c r="AM88" s="351" t="n"/>
      <c r="AN88" s="351" t="n"/>
      <c r="AO88" s="351" t="n"/>
      <c r="AP88" s="351" t="n"/>
      <c r="AQ88" s="351" t="n"/>
      <c r="AR88" s="351" t="n"/>
      <c r="AS88" s="351" t="n"/>
      <c r="AT88" s="351" t="n"/>
      <c r="AU88" s="351" t="n"/>
      <c r="AV88" s="351" t="n"/>
      <c r="AW88" s="351" t="n"/>
      <c r="AX88" s="351" t="n"/>
      <c r="AY88" s="351" t="n"/>
      <c r="AZ88" s="351" t="n"/>
      <c r="BA88" s="351" t="n"/>
      <c r="BB88" s="351" t="n"/>
      <c r="BC88" s="351" t="n"/>
      <c r="BD88" s="351" t="n"/>
      <c r="BE88" s="351" t="n"/>
      <c r="BF88" s="351" t="n"/>
      <c r="BG88" s="351" t="n"/>
      <c r="BH88" s="350">
        <f>SUM(E88:BG88)</f>
        <v/>
      </c>
      <c r="CO88" s="352" t="n"/>
    </row>
    <row r="89" ht="13.9" customHeight="1" s="276">
      <c r="A89" s="48">
        <f>A88+1</f>
        <v/>
      </c>
      <c r="B89" s="277" t="inlineStr">
        <is>
          <t>Luísa Mendes Amaral de Lima</t>
        </is>
      </c>
      <c r="C89" s="257" t="n"/>
      <c r="D89" s="255" t="n"/>
      <c r="E89" s="351" t="n">
        <v>1050</v>
      </c>
      <c r="F89" s="351" t="n">
        <v>1050</v>
      </c>
      <c r="G89" s="351" t="n">
        <v>1050</v>
      </c>
      <c r="H89" s="351" t="n">
        <v>1050</v>
      </c>
      <c r="I89" s="351" t="n">
        <v>1050</v>
      </c>
      <c r="J89" s="351" t="n">
        <v>1050</v>
      </c>
      <c r="K89" s="351" t="n">
        <v>1050</v>
      </c>
      <c r="L89" s="351" t="n">
        <v>1050</v>
      </c>
      <c r="M89" s="351" t="n">
        <v>1050</v>
      </c>
      <c r="N89" s="351" t="n"/>
      <c r="O89" s="351" t="n"/>
      <c r="P89" s="351" t="n"/>
      <c r="Q89" s="351" t="n"/>
      <c r="R89" s="351" t="n"/>
      <c r="S89" s="351" t="n"/>
      <c r="T89" s="351" t="n"/>
      <c r="U89" s="351" t="n"/>
      <c r="V89" s="351" t="n"/>
      <c r="W89" s="351" t="n"/>
      <c r="X89" s="351" t="n"/>
      <c r="Y89" s="351" t="n"/>
      <c r="Z89" s="351" t="n"/>
      <c r="AA89" s="351" t="n"/>
      <c r="AB89" s="351" t="n"/>
      <c r="AC89" s="351" t="n"/>
      <c r="AD89" s="351" t="n"/>
      <c r="AE89" s="351" t="n"/>
      <c r="AF89" s="351" t="n"/>
      <c r="AG89" s="351" t="n"/>
      <c r="AH89" s="351" t="n"/>
      <c r="AI89" s="351" t="n"/>
      <c r="AJ89" s="351" t="n"/>
      <c r="AK89" s="351" t="n"/>
      <c r="AL89" s="351" t="n"/>
      <c r="AM89" s="351" t="n"/>
      <c r="AN89" s="351" t="n"/>
      <c r="AO89" s="351" t="n"/>
      <c r="AP89" s="351" t="n"/>
      <c r="AQ89" s="351" t="n"/>
      <c r="AR89" s="351" t="n"/>
      <c r="AS89" s="351" t="n"/>
      <c r="AT89" s="351" t="n"/>
      <c r="AU89" s="351" t="n"/>
      <c r="AV89" s="351" t="n"/>
      <c r="AW89" s="351" t="n"/>
      <c r="AX89" s="351" t="n"/>
      <c r="AY89" s="351" t="n"/>
      <c r="AZ89" s="351" t="n"/>
      <c r="BA89" s="351" t="n"/>
      <c r="BB89" s="351" t="n"/>
      <c r="BC89" s="351" t="n"/>
      <c r="BD89" s="351" t="n"/>
      <c r="BE89" s="351" t="n"/>
      <c r="BF89" s="351" t="n"/>
      <c r="BG89" s="351" t="n"/>
      <c r="BH89" s="350">
        <f>SUM(E89:BG89)</f>
        <v/>
      </c>
      <c r="CO89" s="352" t="n"/>
    </row>
    <row r="90" ht="13.9" customHeight="1" s="276">
      <c r="A90" s="48">
        <f>A89+1</f>
        <v/>
      </c>
      <c r="B90" s="277" t="inlineStr">
        <is>
          <t>Maria Eduarda Borges Oliveira</t>
        </is>
      </c>
      <c r="C90" s="257" t="n"/>
      <c r="D90" s="255" t="n"/>
      <c r="E90" s="351" t="n">
        <v>1050</v>
      </c>
      <c r="F90" s="351" t="n">
        <v>1050</v>
      </c>
      <c r="G90" s="351" t="n">
        <v>1050</v>
      </c>
      <c r="H90" s="351" t="n">
        <v>1050</v>
      </c>
      <c r="I90" s="351" t="n">
        <v>1050</v>
      </c>
      <c r="J90" s="351" t="n">
        <v>1050</v>
      </c>
      <c r="K90" s="351" t="n">
        <v>1050</v>
      </c>
      <c r="L90" s="351" t="n">
        <v>1050</v>
      </c>
      <c r="M90" s="351" t="n">
        <v>1050</v>
      </c>
      <c r="N90" s="351" t="n"/>
      <c r="O90" s="351" t="n"/>
      <c r="P90" s="351" t="n"/>
      <c r="Q90" s="351" t="n"/>
      <c r="R90" s="351" t="n"/>
      <c r="S90" s="351" t="n"/>
      <c r="T90" s="351" t="n"/>
      <c r="U90" s="351" t="n"/>
      <c r="V90" s="351" t="n"/>
      <c r="W90" s="351" t="n"/>
      <c r="X90" s="351" t="n"/>
      <c r="Y90" s="351" t="n"/>
      <c r="Z90" s="351" t="n"/>
      <c r="AA90" s="351" t="n"/>
      <c r="AB90" s="351" t="n"/>
      <c r="AC90" s="351" t="n"/>
      <c r="AD90" s="351" t="n"/>
      <c r="AE90" s="351" t="n"/>
      <c r="AF90" s="351" t="n"/>
      <c r="AG90" s="351" t="n"/>
      <c r="AH90" s="351" t="n"/>
      <c r="AI90" s="351" t="n"/>
      <c r="AJ90" s="351" t="n"/>
      <c r="AK90" s="351" t="n"/>
      <c r="AL90" s="351" t="n"/>
      <c r="AM90" s="351" t="n"/>
      <c r="AN90" s="351" t="n"/>
      <c r="AO90" s="351" t="n"/>
      <c r="AP90" s="351" t="n"/>
      <c r="AQ90" s="351" t="n"/>
      <c r="AR90" s="351" t="n"/>
      <c r="AS90" s="351" t="n"/>
      <c r="AT90" s="351" t="n"/>
      <c r="AU90" s="351" t="n"/>
      <c r="AV90" s="351" t="n"/>
      <c r="AW90" s="351" t="n"/>
      <c r="AX90" s="351" t="n"/>
      <c r="AY90" s="351" t="n"/>
      <c r="AZ90" s="351" t="n"/>
      <c r="BA90" s="351" t="n"/>
      <c r="BB90" s="351" t="n"/>
      <c r="BC90" s="351" t="n"/>
      <c r="BD90" s="351" t="n"/>
      <c r="BE90" s="351" t="n"/>
      <c r="BF90" s="351" t="n"/>
      <c r="BG90" s="351" t="n"/>
      <c r="BH90" s="350">
        <f>SUM(E90:BG90)</f>
        <v/>
      </c>
      <c r="CO90" s="352" t="n"/>
    </row>
    <row r="91" ht="13.9" customHeight="1" s="276">
      <c r="A91" s="48">
        <f>A90+1</f>
        <v/>
      </c>
      <c r="B91" s="277" t="inlineStr">
        <is>
          <t>Maria Eduarda Gonçalves</t>
        </is>
      </c>
      <c r="C91" s="257" t="n"/>
      <c r="D91" s="255" t="n"/>
      <c r="E91" s="351" t="n">
        <v>2200</v>
      </c>
      <c r="F91" s="351" t="n">
        <v>2200</v>
      </c>
      <c r="G91" s="351" t="n">
        <v>2200</v>
      </c>
      <c r="H91" s="351" t="n">
        <v>2200</v>
      </c>
      <c r="I91" s="351" t="n">
        <v>2200</v>
      </c>
      <c r="J91" s="351" t="n">
        <v>2200</v>
      </c>
      <c r="K91" s="351" t="n">
        <v>2200</v>
      </c>
      <c r="L91" s="351" t="n">
        <v>2200</v>
      </c>
      <c r="M91" s="351" t="n">
        <v>2200</v>
      </c>
      <c r="N91" s="351" t="n"/>
      <c r="O91" s="351" t="n"/>
      <c r="P91" s="351" t="n"/>
      <c r="Q91" s="351" t="n"/>
      <c r="R91" s="351" t="n"/>
      <c r="S91" s="351" t="n"/>
      <c r="T91" s="351" t="n"/>
      <c r="U91" s="351" t="n"/>
      <c r="V91" s="351" t="n"/>
      <c r="W91" s="351" t="n"/>
      <c r="X91" s="351" t="n"/>
      <c r="Y91" s="351" t="n"/>
      <c r="Z91" s="351" t="n"/>
      <c r="AA91" s="351" t="n"/>
      <c r="AB91" s="351" t="n"/>
      <c r="AC91" s="351" t="n"/>
      <c r="AD91" s="351" t="n"/>
      <c r="AE91" s="351" t="n"/>
      <c r="AF91" s="351" t="n"/>
      <c r="AG91" s="351" t="n"/>
      <c r="AH91" s="351" t="n"/>
      <c r="AI91" s="351" t="n"/>
      <c r="AJ91" s="351" t="n"/>
      <c r="AK91" s="351" t="n"/>
      <c r="AL91" s="351" t="n"/>
      <c r="AM91" s="351" t="n"/>
      <c r="AN91" s="351" t="n"/>
      <c r="AO91" s="351" t="n"/>
      <c r="AP91" s="351" t="n"/>
      <c r="AQ91" s="351" t="n"/>
      <c r="AR91" s="351" t="n"/>
      <c r="AS91" s="351" t="n"/>
      <c r="AT91" s="351" t="n"/>
      <c r="AU91" s="351" t="n"/>
      <c r="AV91" s="351" t="n"/>
      <c r="AW91" s="351" t="n"/>
      <c r="AX91" s="351" t="n"/>
      <c r="AY91" s="351" t="n"/>
      <c r="AZ91" s="351" t="n"/>
      <c r="BA91" s="351" t="n"/>
      <c r="BB91" s="351" t="n"/>
      <c r="BC91" s="351" t="n"/>
      <c r="BD91" s="351" t="n"/>
      <c r="BE91" s="351" t="n"/>
      <c r="BF91" s="351" t="n"/>
      <c r="BG91" s="351" t="n"/>
      <c r="BH91" s="350">
        <f>SUM(E91:BG91)</f>
        <v/>
      </c>
      <c r="CO91" s="352" t="n"/>
    </row>
    <row r="92" ht="13.9" customHeight="1" s="276">
      <c r="A92" s="48">
        <f>A91+1</f>
        <v/>
      </c>
      <c r="B92" s="277" t="inlineStr">
        <is>
          <t>Maria Fernanda Fagundes Alamini</t>
        </is>
      </c>
      <c r="C92" s="257" t="n"/>
      <c r="D92" s="255" t="n"/>
      <c r="E92" s="351" t="n">
        <v>2200</v>
      </c>
      <c r="F92" s="351" t="n">
        <v>2200</v>
      </c>
      <c r="G92" s="351" t="n">
        <v>2200</v>
      </c>
      <c r="H92" s="351" t="n">
        <v>2200</v>
      </c>
      <c r="I92" s="351" t="n">
        <v>2200</v>
      </c>
      <c r="J92" s="351" t="n">
        <v>2200</v>
      </c>
      <c r="K92" s="351" t="n">
        <v>2200</v>
      </c>
      <c r="L92" s="351" t="n">
        <v>2200</v>
      </c>
      <c r="M92" s="351" t="n">
        <v>2200</v>
      </c>
      <c r="N92" s="351" t="n"/>
      <c r="O92" s="351" t="n"/>
      <c r="P92" s="351" t="n"/>
      <c r="Q92" s="351" t="n"/>
      <c r="R92" s="351" t="n"/>
      <c r="S92" s="351" t="n"/>
      <c r="T92" s="351" t="n"/>
      <c r="U92" s="351" t="n"/>
      <c r="V92" s="351" t="n"/>
      <c r="W92" s="351" t="n"/>
      <c r="X92" s="351" t="n"/>
      <c r="Y92" s="351" t="n"/>
      <c r="Z92" s="351" t="n"/>
      <c r="AA92" s="351" t="n"/>
      <c r="AB92" s="351" t="n"/>
      <c r="AC92" s="351" t="n"/>
      <c r="AD92" s="351" t="n"/>
      <c r="AE92" s="351" t="n"/>
      <c r="AF92" s="351" t="n"/>
      <c r="AG92" s="351" t="n"/>
      <c r="AH92" s="351" t="n"/>
      <c r="AI92" s="351" t="n"/>
      <c r="AJ92" s="351" t="n"/>
      <c r="AK92" s="351" t="n"/>
      <c r="AL92" s="351" t="n"/>
      <c r="AM92" s="351" t="n"/>
      <c r="AN92" s="351" t="n"/>
      <c r="AO92" s="351" t="n"/>
      <c r="AP92" s="351" t="n"/>
      <c r="AQ92" s="351" t="n"/>
      <c r="AR92" s="351" t="n"/>
      <c r="AS92" s="351" t="n"/>
      <c r="AT92" s="351" t="n"/>
      <c r="AU92" s="351" t="n"/>
      <c r="AV92" s="351" t="n"/>
      <c r="AW92" s="351" t="n"/>
      <c r="AX92" s="351" t="n"/>
      <c r="AY92" s="351" t="n"/>
      <c r="AZ92" s="351" t="n"/>
      <c r="BA92" s="351" t="n"/>
      <c r="BB92" s="351" t="n"/>
      <c r="BC92" s="351" t="n"/>
      <c r="BD92" s="351" t="n"/>
      <c r="BE92" s="351" t="n"/>
      <c r="BF92" s="351" t="n"/>
      <c r="BG92" s="351" t="n"/>
      <c r="BH92" s="350">
        <f>SUM(E92:BG92)</f>
        <v/>
      </c>
      <c r="CO92" s="352" t="n"/>
    </row>
    <row r="93" ht="13.9" customHeight="1" s="276">
      <c r="A93" s="48">
        <f>A92+1</f>
        <v/>
      </c>
      <c r="B93" s="277" t="inlineStr">
        <is>
          <t>Maria Luiza Queiroga Lemos Souza Cavalcante Costa</t>
        </is>
      </c>
      <c r="C93" s="257" t="n"/>
      <c r="D93" s="255" t="n"/>
      <c r="E93" s="351" t="n">
        <v>2200</v>
      </c>
      <c r="F93" s="351" t="n">
        <v>2200</v>
      </c>
      <c r="G93" s="351" t="n">
        <v>2200</v>
      </c>
      <c r="H93" s="351" t="n">
        <v>2200</v>
      </c>
      <c r="I93" s="351" t="n">
        <v>2200</v>
      </c>
      <c r="J93" s="351" t="n">
        <v>2200</v>
      </c>
      <c r="K93" s="351" t="n">
        <v>2200</v>
      </c>
      <c r="L93" s="351" t="n">
        <v>2200</v>
      </c>
      <c r="M93" s="351" t="n">
        <v>2200</v>
      </c>
      <c r="N93" s="351" t="n"/>
      <c r="O93" s="351" t="n"/>
      <c r="P93" s="351" t="n"/>
      <c r="Q93" s="351" t="n"/>
      <c r="R93" s="351" t="n"/>
      <c r="S93" s="351" t="n"/>
      <c r="T93" s="351" t="n"/>
      <c r="U93" s="351" t="n"/>
      <c r="V93" s="351" t="n"/>
      <c r="W93" s="351" t="n"/>
      <c r="X93" s="351" t="n"/>
      <c r="Y93" s="351" t="n"/>
      <c r="Z93" s="351" t="n"/>
      <c r="AA93" s="351" t="n"/>
      <c r="AB93" s="351" t="n"/>
      <c r="AC93" s="351" t="n"/>
      <c r="AD93" s="351" t="n"/>
      <c r="AE93" s="351" t="n"/>
      <c r="AF93" s="351" t="n"/>
      <c r="AG93" s="351" t="n"/>
      <c r="AH93" s="351" t="n"/>
      <c r="AI93" s="351" t="n"/>
      <c r="AJ93" s="351" t="n"/>
      <c r="AK93" s="351" t="n"/>
      <c r="AL93" s="351" t="n"/>
      <c r="AM93" s="351" t="n"/>
      <c r="AN93" s="351" t="n"/>
      <c r="AO93" s="351" t="n"/>
      <c r="AP93" s="351" t="n"/>
      <c r="AQ93" s="351" t="n"/>
      <c r="AR93" s="351" t="n"/>
      <c r="AS93" s="351" t="n"/>
      <c r="AT93" s="351" t="n"/>
      <c r="AU93" s="351" t="n"/>
      <c r="AV93" s="351" t="n"/>
      <c r="AW93" s="351" t="n"/>
      <c r="AX93" s="351" t="n"/>
      <c r="AY93" s="351" t="n"/>
      <c r="AZ93" s="351" t="n"/>
      <c r="BA93" s="351" t="n"/>
      <c r="BB93" s="351" t="n"/>
      <c r="BC93" s="351" t="n"/>
      <c r="BD93" s="351" t="n"/>
      <c r="BE93" s="351" t="n"/>
      <c r="BF93" s="351" t="n"/>
      <c r="BG93" s="351" t="n"/>
      <c r="BH93" s="350">
        <f>SUM(E93:BG93)</f>
        <v/>
      </c>
      <c r="CO93" s="352" t="n"/>
    </row>
    <row r="94" ht="13.9" customHeight="1" s="276">
      <c r="A94" s="48">
        <f>A93+1</f>
        <v/>
      </c>
      <c r="B94" s="277" t="inlineStr">
        <is>
          <t>Mariana Souza dos Santos</t>
        </is>
      </c>
      <c r="C94" s="257" t="n"/>
      <c r="D94" s="255" t="n"/>
      <c r="E94" s="351" t="n">
        <v>1050</v>
      </c>
      <c r="F94" s="351" t="n">
        <v>1050</v>
      </c>
      <c r="G94" s="351" t="n">
        <v>1050</v>
      </c>
      <c r="H94" s="351" t="n">
        <v>1050</v>
      </c>
      <c r="I94" s="351" t="n">
        <v>1050</v>
      </c>
      <c r="J94" s="351" t="n">
        <v>1050</v>
      </c>
      <c r="K94" s="351" t="n">
        <v>1050</v>
      </c>
      <c r="L94" s="351" t="n">
        <v>1050</v>
      </c>
      <c r="M94" s="351" t="n">
        <v>1050</v>
      </c>
      <c r="N94" s="351" t="n"/>
      <c r="O94" s="351" t="n"/>
      <c r="P94" s="351" t="n"/>
      <c r="Q94" s="351" t="n"/>
      <c r="R94" s="351" t="n"/>
      <c r="S94" s="351" t="n"/>
      <c r="T94" s="351" t="n"/>
      <c r="U94" s="351" t="n"/>
      <c r="V94" s="351" t="n"/>
      <c r="W94" s="351" t="n"/>
      <c r="X94" s="351" t="n"/>
      <c r="Y94" s="351" t="n"/>
      <c r="Z94" s="351" t="n"/>
      <c r="AA94" s="351" t="n"/>
      <c r="AB94" s="351" t="n"/>
      <c r="AC94" s="351" t="n"/>
      <c r="AD94" s="351" t="n"/>
      <c r="AE94" s="351" t="n"/>
      <c r="AF94" s="351" t="n"/>
      <c r="AG94" s="351" t="n"/>
      <c r="AH94" s="351" t="n"/>
      <c r="AI94" s="351" t="n"/>
      <c r="AJ94" s="351" t="n"/>
      <c r="AK94" s="351" t="n"/>
      <c r="AL94" s="351" t="n"/>
      <c r="AM94" s="351" t="n"/>
      <c r="AN94" s="351" t="n"/>
      <c r="AO94" s="351" t="n"/>
      <c r="AP94" s="351" t="n"/>
      <c r="AQ94" s="351" t="n"/>
      <c r="AR94" s="351" t="n"/>
      <c r="AS94" s="351" t="n"/>
      <c r="AT94" s="351" t="n"/>
      <c r="AU94" s="351" t="n"/>
      <c r="AV94" s="351" t="n"/>
      <c r="AW94" s="351" t="n"/>
      <c r="AX94" s="351" t="n"/>
      <c r="AY94" s="351" t="n"/>
      <c r="AZ94" s="351" t="n"/>
      <c r="BA94" s="351" t="n"/>
      <c r="BB94" s="351" t="n"/>
      <c r="BC94" s="351" t="n"/>
      <c r="BD94" s="351" t="n"/>
      <c r="BE94" s="351" t="n"/>
      <c r="BF94" s="351" t="n"/>
      <c r="BG94" s="351" t="n"/>
      <c r="BH94" s="350">
        <f>SUM(E94:BG94)</f>
        <v/>
      </c>
      <c r="CO94" s="352" t="n"/>
    </row>
    <row r="95" ht="13.9" customHeight="1" s="276">
      <c r="A95" s="48">
        <f>A94+1</f>
        <v/>
      </c>
      <c r="B95" s="277" t="inlineStr">
        <is>
          <t>Miguel Marchi Jasper</t>
        </is>
      </c>
      <c r="C95" s="257" t="n"/>
      <c r="D95" s="255" t="n"/>
      <c r="E95" s="351" t="n">
        <v>1050</v>
      </c>
      <c r="F95" s="351" t="n">
        <v>1050</v>
      </c>
      <c r="G95" s="351" t="n">
        <v>1050</v>
      </c>
      <c r="H95" s="351" t="n">
        <v>1050</v>
      </c>
      <c r="I95" s="351" t="n">
        <v>1050</v>
      </c>
      <c r="J95" s="351" t="n">
        <v>1050</v>
      </c>
      <c r="K95" s="351" t="n">
        <v>1050</v>
      </c>
      <c r="L95" s="351" t="n">
        <v>1050</v>
      </c>
      <c r="M95" s="351" t="n">
        <v>1050</v>
      </c>
      <c r="N95" s="351" t="n"/>
      <c r="O95" s="351" t="n"/>
      <c r="P95" s="351" t="n"/>
      <c r="Q95" s="351" t="n"/>
      <c r="R95" s="351" t="n"/>
      <c r="S95" s="351" t="n"/>
      <c r="T95" s="351" t="n"/>
      <c r="U95" s="351" t="n"/>
      <c r="V95" s="351" t="n"/>
      <c r="W95" s="351" t="n"/>
      <c r="X95" s="351" t="n"/>
      <c r="Y95" s="351" t="n"/>
      <c r="Z95" s="351" t="n"/>
      <c r="AA95" s="351" t="n"/>
      <c r="AB95" s="351" t="n"/>
      <c r="AC95" s="351" t="n"/>
      <c r="AD95" s="351" t="n"/>
      <c r="AE95" s="351" t="n"/>
      <c r="AF95" s="351" t="n"/>
      <c r="AG95" s="351" t="n"/>
      <c r="AH95" s="351" t="n"/>
      <c r="AI95" s="351" t="n"/>
      <c r="AJ95" s="351" t="n"/>
      <c r="AK95" s="351" t="n"/>
      <c r="AL95" s="351" t="n"/>
      <c r="AM95" s="351" t="n"/>
      <c r="AN95" s="351" t="n"/>
      <c r="AO95" s="351" t="n"/>
      <c r="AP95" s="351" t="n"/>
      <c r="AQ95" s="351" t="n"/>
      <c r="AR95" s="351" t="n"/>
      <c r="AS95" s="351" t="n"/>
      <c r="AT95" s="351" t="n"/>
      <c r="AU95" s="351" t="n"/>
      <c r="AV95" s="351" t="n"/>
      <c r="AW95" s="351" t="n"/>
      <c r="AX95" s="351" t="n"/>
      <c r="AY95" s="351" t="n"/>
      <c r="AZ95" s="351" t="n"/>
      <c r="BA95" s="351" t="n"/>
      <c r="BB95" s="351" t="n"/>
      <c r="BC95" s="351" t="n"/>
      <c r="BD95" s="351" t="n"/>
      <c r="BE95" s="351" t="n"/>
      <c r="BF95" s="351" t="n"/>
      <c r="BG95" s="351" t="n"/>
      <c r="BH95" s="350">
        <f>SUM(E95:BG95)</f>
        <v/>
      </c>
      <c r="CO95" s="352" t="n"/>
    </row>
    <row r="96" ht="13.9" customHeight="1" s="276">
      <c r="A96" s="48">
        <f>A95+1</f>
        <v/>
      </c>
      <c r="B96" s="277" t="inlineStr">
        <is>
          <t>Milena Leão</t>
        </is>
      </c>
      <c r="C96" s="257" t="n"/>
      <c r="D96" s="255" t="n"/>
      <c r="E96" s="351" t="n">
        <v>2200</v>
      </c>
      <c r="F96" s="351" t="n">
        <v>2200</v>
      </c>
      <c r="G96" s="351" t="n">
        <v>2200</v>
      </c>
      <c r="H96" s="351" t="n">
        <v>2200</v>
      </c>
      <c r="I96" s="351" t="n">
        <v>2200</v>
      </c>
      <c r="J96" s="351" t="n">
        <v>2200</v>
      </c>
      <c r="K96" s="351" t="n">
        <v>2200</v>
      </c>
      <c r="L96" s="351" t="n">
        <v>2200</v>
      </c>
      <c r="M96" s="351" t="n">
        <v>2200</v>
      </c>
      <c r="N96" s="351" t="n"/>
      <c r="O96" s="351" t="n"/>
      <c r="P96" s="351" t="n"/>
      <c r="Q96" s="351" t="n"/>
      <c r="R96" s="351" t="n"/>
      <c r="S96" s="351" t="n"/>
      <c r="T96" s="351" t="n"/>
      <c r="U96" s="351" t="n"/>
      <c r="V96" s="351" t="n"/>
      <c r="W96" s="351" t="n"/>
      <c r="X96" s="351" t="n"/>
      <c r="Y96" s="351" t="n"/>
      <c r="Z96" s="351" t="n"/>
      <c r="AA96" s="351" t="n"/>
      <c r="AB96" s="351" t="n"/>
      <c r="AC96" s="351" t="n"/>
      <c r="AD96" s="351" t="n"/>
      <c r="AE96" s="351" t="n"/>
      <c r="AF96" s="351" t="n"/>
      <c r="AG96" s="351" t="n"/>
      <c r="AH96" s="351" t="n"/>
      <c r="AI96" s="351" t="n"/>
      <c r="AJ96" s="351" t="n"/>
      <c r="AK96" s="351" t="n"/>
      <c r="AL96" s="351" t="n"/>
      <c r="AM96" s="351" t="n"/>
      <c r="AN96" s="351" t="n"/>
      <c r="AO96" s="351" t="n"/>
      <c r="AP96" s="351" t="n"/>
      <c r="AQ96" s="351" t="n"/>
      <c r="AR96" s="351" t="n"/>
      <c r="AS96" s="351" t="n"/>
      <c r="AT96" s="351" t="n"/>
      <c r="AU96" s="351" t="n"/>
      <c r="AV96" s="351" t="n"/>
      <c r="AW96" s="351" t="n"/>
      <c r="AX96" s="351" t="n"/>
      <c r="AY96" s="351" t="n"/>
      <c r="AZ96" s="351" t="n"/>
      <c r="BA96" s="351" t="n"/>
      <c r="BB96" s="351" t="n"/>
      <c r="BC96" s="351" t="n"/>
      <c r="BD96" s="351" t="n"/>
      <c r="BE96" s="351" t="n"/>
      <c r="BF96" s="351" t="n"/>
      <c r="BG96" s="351" t="n"/>
      <c r="BH96" s="350">
        <f>SUM(E96:BG96)</f>
        <v/>
      </c>
      <c r="CO96" s="352" t="n"/>
    </row>
    <row r="97" ht="13.9" customHeight="1" s="276">
      <c r="A97" s="48">
        <f>A96+1</f>
        <v/>
      </c>
      <c r="B97" s="277" t="inlineStr">
        <is>
          <t>Milena Welter Sotoriva</t>
        </is>
      </c>
      <c r="C97" s="257" t="n"/>
      <c r="D97" s="255" t="n"/>
      <c r="E97" s="351" t="n">
        <v>1050</v>
      </c>
      <c r="F97" s="351" t="n">
        <v>1050</v>
      </c>
      <c r="G97" s="351" t="n">
        <v>1050</v>
      </c>
      <c r="H97" s="351" t="n">
        <v>1050</v>
      </c>
      <c r="I97" s="351" t="n">
        <v>1050</v>
      </c>
      <c r="J97" s="351" t="n">
        <v>1050</v>
      </c>
      <c r="K97" s="351" t="n">
        <v>1050</v>
      </c>
      <c r="L97" s="351" t="n">
        <v>1050</v>
      </c>
      <c r="M97" s="351" t="n">
        <v>1050</v>
      </c>
      <c r="N97" s="351" t="n"/>
      <c r="O97" s="351" t="n"/>
      <c r="P97" s="351" t="n"/>
      <c r="Q97" s="351" t="n"/>
      <c r="R97" s="351" t="n"/>
      <c r="S97" s="351" t="n"/>
      <c r="T97" s="351" t="n"/>
      <c r="U97" s="351" t="n"/>
      <c r="V97" s="351" t="n"/>
      <c r="W97" s="351" t="n"/>
      <c r="X97" s="351" t="n"/>
      <c r="Y97" s="351" t="n"/>
      <c r="Z97" s="351" t="n"/>
      <c r="AA97" s="351" t="n"/>
      <c r="AB97" s="351" t="n"/>
      <c r="AC97" s="351" t="n"/>
      <c r="AD97" s="351" t="n"/>
      <c r="AE97" s="351" t="n"/>
      <c r="AF97" s="351" t="n"/>
      <c r="AG97" s="351" t="n"/>
      <c r="AH97" s="351" t="n"/>
      <c r="AI97" s="351" t="n"/>
      <c r="AJ97" s="351" t="n"/>
      <c r="AK97" s="351" t="n"/>
      <c r="AL97" s="351" t="n"/>
      <c r="AM97" s="351" t="n"/>
      <c r="AN97" s="351" t="n"/>
      <c r="AO97" s="351" t="n"/>
      <c r="AP97" s="351" t="n"/>
      <c r="AQ97" s="351" t="n"/>
      <c r="AR97" s="351" t="n"/>
      <c r="AS97" s="351" t="n"/>
      <c r="AT97" s="351" t="n"/>
      <c r="AU97" s="351" t="n"/>
      <c r="AV97" s="351" t="n"/>
      <c r="AW97" s="351" t="n"/>
      <c r="AX97" s="351" t="n"/>
      <c r="AY97" s="351" t="n"/>
      <c r="AZ97" s="351" t="n"/>
      <c r="BA97" s="351" t="n"/>
      <c r="BB97" s="351" t="n"/>
      <c r="BC97" s="351" t="n"/>
      <c r="BD97" s="351" t="n"/>
      <c r="BE97" s="351" t="n"/>
      <c r="BF97" s="351" t="n"/>
      <c r="BG97" s="351" t="n"/>
      <c r="BH97" s="350">
        <f>SUM(E97:BG97)</f>
        <v/>
      </c>
      <c r="CO97" s="352" t="n"/>
    </row>
    <row r="98" ht="13.9" customHeight="1" s="276">
      <c r="A98" s="48">
        <f>A97+1</f>
        <v/>
      </c>
      <c r="B98" s="277" t="inlineStr">
        <is>
          <t xml:space="preserve">Monalisa Teixeira </t>
        </is>
      </c>
      <c r="C98" s="257" t="n"/>
      <c r="D98" s="255" t="n"/>
      <c r="E98" s="351" t="n">
        <v>1050</v>
      </c>
      <c r="F98" s="351" t="n">
        <v>1050</v>
      </c>
      <c r="G98" s="351" t="n">
        <v>1050</v>
      </c>
      <c r="H98" s="351" t="n">
        <v>1050</v>
      </c>
      <c r="I98" s="351" t="n">
        <v>1050</v>
      </c>
      <c r="J98" s="351" t="n">
        <v>1050</v>
      </c>
      <c r="K98" s="351" t="n">
        <v>1050</v>
      </c>
      <c r="L98" s="351" t="n">
        <v>1050</v>
      </c>
      <c r="M98" s="351" t="n">
        <v>1050</v>
      </c>
      <c r="N98" s="351" t="n"/>
      <c r="O98" s="351" t="n"/>
      <c r="P98" s="351" t="n"/>
      <c r="Q98" s="351" t="n"/>
      <c r="R98" s="351" t="n"/>
      <c r="S98" s="351" t="n"/>
      <c r="T98" s="351" t="n"/>
      <c r="U98" s="351" t="n"/>
      <c r="V98" s="351" t="n"/>
      <c r="W98" s="351" t="n"/>
      <c r="X98" s="351" t="n"/>
      <c r="Y98" s="351" t="n"/>
      <c r="Z98" s="351" t="n"/>
      <c r="AA98" s="351" t="n"/>
      <c r="AB98" s="351" t="n"/>
      <c r="AC98" s="351" t="n"/>
      <c r="AD98" s="351" t="n"/>
      <c r="AE98" s="351" t="n"/>
      <c r="AF98" s="351" t="n"/>
      <c r="AG98" s="351" t="n"/>
      <c r="AH98" s="351" t="n"/>
      <c r="AI98" s="351" t="n"/>
      <c r="AJ98" s="351" t="n"/>
      <c r="AK98" s="351" t="n"/>
      <c r="AL98" s="351" t="n"/>
      <c r="AM98" s="351" t="n"/>
      <c r="AN98" s="351" t="n"/>
      <c r="AO98" s="351" t="n"/>
      <c r="AP98" s="351" t="n"/>
      <c r="AQ98" s="351" t="n"/>
      <c r="AR98" s="351" t="n"/>
      <c r="AS98" s="351" t="n"/>
      <c r="AT98" s="351" t="n"/>
      <c r="AU98" s="351" t="n"/>
      <c r="AV98" s="351" t="n"/>
      <c r="AW98" s="351" t="n"/>
      <c r="AX98" s="351" t="n"/>
      <c r="AY98" s="351" t="n"/>
      <c r="AZ98" s="351" t="n"/>
      <c r="BA98" s="351" t="n"/>
      <c r="BB98" s="351" t="n"/>
      <c r="BC98" s="351" t="n"/>
      <c r="BD98" s="351" t="n"/>
      <c r="BE98" s="351" t="n"/>
      <c r="BF98" s="351" t="n"/>
      <c r="BG98" s="351" t="n"/>
      <c r="BH98" s="350">
        <f>SUM(E98:BG98)</f>
        <v/>
      </c>
      <c r="CO98" s="352" t="n"/>
    </row>
    <row r="99" ht="13.9" customHeight="1" s="276">
      <c r="A99" s="48">
        <f>A98+1</f>
        <v/>
      </c>
      <c r="B99" s="277" t="inlineStr">
        <is>
          <t>Naely Terezinha Costa</t>
        </is>
      </c>
      <c r="C99" s="257" t="n"/>
      <c r="D99" s="255" t="n"/>
      <c r="E99" s="351" t="n">
        <v>1050</v>
      </c>
      <c r="F99" s="351" t="n">
        <v>1050</v>
      </c>
      <c r="G99" s="351" t="n">
        <v>1050</v>
      </c>
      <c r="H99" s="351" t="n">
        <v>1050</v>
      </c>
      <c r="I99" s="351" t="n">
        <v>1050</v>
      </c>
      <c r="J99" s="351" t="n">
        <v>1050</v>
      </c>
      <c r="K99" s="351" t="n">
        <v>1050</v>
      </c>
      <c r="L99" s="351" t="n">
        <v>1050</v>
      </c>
      <c r="M99" s="351" t="n">
        <v>1050</v>
      </c>
      <c r="N99" s="351" t="n"/>
      <c r="O99" s="351" t="n"/>
      <c r="P99" s="351" t="n"/>
      <c r="Q99" s="351" t="n"/>
      <c r="R99" s="351" t="n"/>
      <c r="S99" s="351" t="n"/>
      <c r="T99" s="351" t="n"/>
      <c r="U99" s="351" t="n"/>
      <c r="V99" s="351" t="n"/>
      <c r="W99" s="351" t="n"/>
      <c r="X99" s="351" t="n"/>
      <c r="Y99" s="351" t="n"/>
      <c r="Z99" s="351" t="n"/>
      <c r="AA99" s="351" t="n"/>
      <c r="AB99" s="351" t="n"/>
      <c r="AC99" s="351" t="n"/>
      <c r="AD99" s="351" t="n"/>
      <c r="AE99" s="351" t="n"/>
      <c r="AF99" s="351" t="n"/>
      <c r="AG99" s="351" t="n"/>
      <c r="AH99" s="351" t="n"/>
      <c r="AI99" s="351" t="n"/>
      <c r="AJ99" s="351" t="n"/>
      <c r="AK99" s="351" t="n"/>
      <c r="AL99" s="351" t="n"/>
      <c r="AM99" s="351" t="n"/>
      <c r="AN99" s="351" t="n"/>
      <c r="AO99" s="351" t="n"/>
      <c r="AP99" s="351" t="n"/>
      <c r="AQ99" s="351" t="n"/>
      <c r="AR99" s="351" t="n"/>
      <c r="AS99" s="351" t="n"/>
      <c r="AT99" s="351" t="n"/>
      <c r="AU99" s="351" t="n"/>
      <c r="AV99" s="351" t="n"/>
      <c r="AW99" s="351" t="n"/>
      <c r="AX99" s="351" t="n"/>
      <c r="AY99" s="351" t="n"/>
      <c r="AZ99" s="351" t="n"/>
      <c r="BA99" s="351" t="n"/>
      <c r="BB99" s="351" t="n"/>
      <c r="BC99" s="351" t="n"/>
      <c r="BD99" s="351" t="n"/>
      <c r="BE99" s="351" t="n"/>
      <c r="BF99" s="351" t="n"/>
      <c r="BG99" s="351" t="n"/>
      <c r="BH99" s="350">
        <f>SUM(E99:BG99)</f>
        <v/>
      </c>
      <c r="CO99" s="352" t="n"/>
    </row>
    <row r="100" ht="13.9" customHeight="1" s="276">
      <c r="A100" s="48">
        <f>A99+1</f>
        <v/>
      </c>
      <c r="B100" s="277" t="inlineStr">
        <is>
          <t>Renata Pacheco</t>
        </is>
      </c>
      <c r="C100" s="257" t="n"/>
      <c r="D100" s="255" t="n"/>
      <c r="E100" s="351" t="n">
        <v>2500</v>
      </c>
      <c r="F100" s="351" t="n"/>
      <c r="G100" s="351" t="n"/>
      <c r="H100" s="351" t="n"/>
      <c r="I100" s="351" t="n"/>
      <c r="J100" s="351" t="n"/>
      <c r="K100" s="351" t="n"/>
      <c r="L100" s="351" t="n"/>
      <c r="M100" s="351" t="n"/>
      <c r="N100" s="351" t="n"/>
      <c r="O100" s="351" t="n"/>
      <c r="P100" s="351" t="n"/>
      <c r="Q100" s="351" t="n"/>
      <c r="R100" s="351" t="n"/>
      <c r="S100" s="351" t="n"/>
      <c r="T100" s="351" t="n"/>
      <c r="U100" s="351" t="n"/>
      <c r="V100" s="351" t="n"/>
      <c r="W100" s="351" t="n"/>
      <c r="X100" s="351" t="n"/>
      <c r="Y100" s="351" t="n"/>
      <c r="Z100" s="351" t="n"/>
      <c r="AA100" s="351" t="n"/>
      <c r="AB100" s="351" t="n"/>
      <c r="AC100" s="351" t="n"/>
      <c r="AD100" s="351" t="n"/>
      <c r="AE100" s="351" t="n"/>
      <c r="AF100" s="351" t="n"/>
      <c r="AG100" s="351" t="n"/>
      <c r="AH100" s="351" t="n"/>
      <c r="AI100" s="351" t="n"/>
      <c r="AJ100" s="351" t="n"/>
      <c r="AK100" s="351" t="n"/>
      <c r="AL100" s="351" t="n"/>
      <c r="AM100" s="351" t="n"/>
      <c r="AN100" s="351" t="n"/>
      <c r="AO100" s="351" t="n"/>
      <c r="AP100" s="351" t="n"/>
      <c r="AQ100" s="351" t="n"/>
      <c r="AR100" s="351" t="n"/>
      <c r="AS100" s="351" t="n"/>
      <c r="AT100" s="351" t="n"/>
      <c r="AU100" s="351" t="n"/>
      <c r="AV100" s="351" t="n"/>
      <c r="AW100" s="351" t="n"/>
      <c r="AX100" s="351" t="n"/>
      <c r="AY100" s="351" t="n"/>
      <c r="AZ100" s="351" t="n"/>
      <c r="BA100" s="351" t="n"/>
      <c r="BB100" s="351" t="n"/>
      <c r="BC100" s="351" t="n"/>
      <c r="BD100" s="351" t="n"/>
      <c r="BE100" s="351" t="n"/>
      <c r="BF100" s="351" t="n"/>
      <c r="BG100" s="351" t="n"/>
      <c r="BH100" s="350">
        <f>SUM(E100:BG100)</f>
        <v/>
      </c>
      <c r="CO100" s="352" t="n"/>
    </row>
    <row r="101" ht="13.9" customHeight="1" s="276">
      <c r="A101" s="48">
        <f>A100+1</f>
        <v/>
      </c>
      <c r="B101" s="277" t="inlineStr">
        <is>
          <t>Renato de Araújo Carvalho</t>
        </is>
      </c>
      <c r="C101" s="257" t="n"/>
      <c r="D101" s="255" t="n"/>
      <c r="E101" s="351" t="n">
        <v>1050</v>
      </c>
      <c r="F101" s="351" t="n">
        <v>1050</v>
      </c>
      <c r="G101" s="351" t="n">
        <v>1050</v>
      </c>
      <c r="H101" s="351" t="n">
        <v>1050</v>
      </c>
      <c r="I101" s="351" t="n">
        <v>1050</v>
      </c>
      <c r="J101" s="351" t="n">
        <v>1050</v>
      </c>
      <c r="K101" s="351" t="n">
        <v>1050</v>
      </c>
      <c r="L101" s="351" t="n">
        <v>1050</v>
      </c>
      <c r="M101" s="351" t="n">
        <v>1050</v>
      </c>
      <c r="N101" s="351" t="n"/>
      <c r="O101" s="351" t="n"/>
      <c r="P101" s="351" t="n"/>
      <c r="Q101" s="351" t="n"/>
      <c r="R101" s="351" t="n"/>
      <c r="S101" s="351" t="n"/>
      <c r="T101" s="351" t="n"/>
      <c r="U101" s="351" t="n"/>
      <c r="V101" s="351" t="n"/>
      <c r="W101" s="351" t="n"/>
      <c r="X101" s="351" t="n"/>
      <c r="Y101" s="351" t="n"/>
      <c r="Z101" s="351" t="n"/>
      <c r="AA101" s="351" t="n"/>
      <c r="AB101" s="351" t="n"/>
      <c r="AC101" s="351" t="n"/>
      <c r="AD101" s="351" t="n"/>
      <c r="AE101" s="351" t="n"/>
      <c r="AF101" s="351" t="n"/>
      <c r="AG101" s="351" t="n"/>
      <c r="AH101" s="351" t="n"/>
      <c r="AI101" s="351" t="n"/>
      <c r="AJ101" s="351" t="n"/>
      <c r="AK101" s="351" t="n"/>
      <c r="AL101" s="351" t="n"/>
      <c r="AM101" s="351" t="n"/>
      <c r="AN101" s="351" t="n"/>
      <c r="AO101" s="351" t="n"/>
      <c r="AP101" s="351" t="n"/>
      <c r="AQ101" s="351" t="n"/>
      <c r="AR101" s="351" t="n"/>
      <c r="AS101" s="351" t="n"/>
      <c r="AT101" s="351" t="n"/>
      <c r="AU101" s="351" t="n"/>
      <c r="AV101" s="351" t="n"/>
      <c r="AW101" s="351" t="n"/>
      <c r="AX101" s="351" t="n"/>
      <c r="AY101" s="351" t="n"/>
      <c r="AZ101" s="351" t="n"/>
      <c r="BA101" s="351" t="n"/>
      <c r="BB101" s="351" t="n"/>
      <c r="BC101" s="351" t="n"/>
      <c r="BD101" s="351" t="n"/>
      <c r="BE101" s="351" t="n"/>
      <c r="BF101" s="351" t="n"/>
      <c r="BG101" s="351" t="n"/>
      <c r="BH101" s="350">
        <f>SUM(E101:BG101)</f>
        <v/>
      </c>
      <c r="CO101" s="352" t="n"/>
    </row>
    <row r="102" ht="13.9" customHeight="1" s="276">
      <c r="A102" s="48">
        <f>A101+1</f>
        <v/>
      </c>
      <c r="B102" s="277" t="inlineStr">
        <is>
          <t>Roberto Fernando Vieira</t>
        </is>
      </c>
      <c r="C102" s="257" t="n"/>
      <c r="D102" s="255" t="n"/>
      <c r="E102" s="351" t="n">
        <v>2000</v>
      </c>
      <c r="F102" s="351" t="n"/>
      <c r="G102" s="351" t="n"/>
      <c r="H102" s="351" t="n"/>
      <c r="I102" s="351" t="n"/>
      <c r="J102" s="351" t="n"/>
      <c r="K102" s="351" t="n"/>
      <c r="L102" s="351" t="n"/>
      <c r="M102" s="351" t="n"/>
      <c r="N102" s="351" t="n"/>
      <c r="O102" s="351" t="n"/>
      <c r="P102" s="351" t="n"/>
      <c r="Q102" s="351" t="n"/>
      <c r="R102" s="351" t="n"/>
      <c r="S102" s="351" t="n"/>
      <c r="T102" s="351" t="n"/>
      <c r="U102" s="351" t="n"/>
      <c r="V102" s="351" t="n"/>
      <c r="W102" s="351" t="n"/>
      <c r="X102" s="351" t="n"/>
      <c r="Y102" s="351" t="n"/>
      <c r="Z102" s="351" t="n"/>
      <c r="AA102" s="351" t="n"/>
      <c r="AB102" s="351" t="n"/>
      <c r="AC102" s="351" t="n"/>
      <c r="AD102" s="351" t="n"/>
      <c r="AE102" s="351" t="n"/>
      <c r="AF102" s="351" t="n"/>
      <c r="AG102" s="351" t="n"/>
      <c r="AH102" s="351" t="n"/>
      <c r="AI102" s="351" t="n"/>
      <c r="AJ102" s="351" t="n"/>
      <c r="AK102" s="351" t="n"/>
      <c r="AL102" s="351" t="n"/>
      <c r="AM102" s="351" t="n"/>
      <c r="AN102" s="351" t="n"/>
      <c r="AO102" s="351" t="n"/>
      <c r="AP102" s="351" t="n"/>
      <c r="AQ102" s="351" t="n"/>
      <c r="AR102" s="351" t="n"/>
      <c r="AS102" s="351" t="n"/>
      <c r="AT102" s="351" t="n"/>
      <c r="AU102" s="351" t="n"/>
      <c r="AV102" s="351" t="n"/>
      <c r="AW102" s="351" t="n"/>
      <c r="AX102" s="351" t="n"/>
      <c r="AY102" s="351" t="n"/>
      <c r="AZ102" s="351" t="n"/>
      <c r="BA102" s="351" t="n"/>
      <c r="BB102" s="351" t="n"/>
      <c r="BC102" s="351" t="n"/>
      <c r="BD102" s="351" t="n"/>
      <c r="BE102" s="351" t="n"/>
      <c r="BF102" s="351" t="n"/>
      <c r="BG102" s="351" t="n"/>
      <c r="BH102" s="350">
        <f>SUM(E102:BG102)</f>
        <v/>
      </c>
      <c r="CO102" s="352" t="n"/>
    </row>
    <row r="103" ht="13.9" customHeight="1" s="276">
      <c r="A103" s="48">
        <f>A102+1</f>
        <v/>
      </c>
      <c r="B103" s="277" t="inlineStr">
        <is>
          <t>Rodrigo Cruz Moraes</t>
        </is>
      </c>
      <c r="C103" s="257" t="n"/>
      <c r="D103" s="255" t="n"/>
      <c r="E103" s="351" t="n">
        <v>2200</v>
      </c>
      <c r="F103" s="351" t="n">
        <v>2200</v>
      </c>
      <c r="G103" s="351" t="n">
        <v>2200</v>
      </c>
      <c r="H103" s="351" t="n">
        <v>2200</v>
      </c>
      <c r="I103" s="351" t="n">
        <v>2200</v>
      </c>
      <c r="J103" s="351" t="n">
        <v>2200</v>
      </c>
      <c r="K103" s="351" t="n">
        <v>2200</v>
      </c>
      <c r="L103" s="351" t="n">
        <v>2200</v>
      </c>
      <c r="M103" s="351" t="n">
        <v>2200</v>
      </c>
      <c r="N103" s="351" t="n"/>
      <c r="O103" s="351" t="n"/>
      <c r="P103" s="351" t="n"/>
      <c r="Q103" s="351" t="n"/>
      <c r="R103" s="351" t="n"/>
      <c r="S103" s="351" t="n"/>
      <c r="T103" s="351" t="n"/>
      <c r="U103" s="351" t="n"/>
      <c r="V103" s="351" t="n"/>
      <c r="W103" s="351" t="n"/>
      <c r="X103" s="351" t="n"/>
      <c r="Y103" s="351" t="n"/>
      <c r="Z103" s="351" t="n"/>
      <c r="AA103" s="351" t="n"/>
      <c r="AB103" s="351" t="n"/>
      <c r="AC103" s="351" t="n"/>
      <c r="AD103" s="351" t="n"/>
      <c r="AE103" s="351" t="n"/>
      <c r="AF103" s="351" t="n"/>
      <c r="AG103" s="351" t="n"/>
      <c r="AH103" s="351" t="n"/>
      <c r="AI103" s="351" t="n"/>
      <c r="AJ103" s="351" t="n"/>
      <c r="AK103" s="351" t="n"/>
      <c r="AL103" s="351" t="n"/>
      <c r="AM103" s="351" t="n"/>
      <c r="AN103" s="351" t="n"/>
      <c r="AO103" s="351" t="n"/>
      <c r="AP103" s="351" t="n"/>
      <c r="AQ103" s="351" t="n"/>
      <c r="AR103" s="351" t="n"/>
      <c r="AS103" s="351" t="n"/>
      <c r="AT103" s="351" t="n"/>
      <c r="AU103" s="351" t="n"/>
      <c r="AV103" s="351" t="n"/>
      <c r="AW103" s="351" t="n"/>
      <c r="AX103" s="351" t="n"/>
      <c r="AY103" s="351" t="n"/>
      <c r="AZ103" s="351" t="n"/>
      <c r="BA103" s="351" t="n"/>
      <c r="BB103" s="351" t="n"/>
      <c r="BC103" s="351" t="n"/>
      <c r="BD103" s="351" t="n"/>
      <c r="BE103" s="351" t="n"/>
      <c r="BF103" s="351" t="n"/>
      <c r="BG103" s="351" t="n"/>
      <c r="BH103" s="350">
        <f>SUM(E103:BG103)</f>
        <v/>
      </c>
      <c r="CO103" s="352" t="n"/>
    </row>
    <row r="104" ht="13.9" customHeight="1" s="276">
      <c r="A104" s="48">
        <f>A103+1</f>
        <v/>
      </c>
      <c r="B104" s="277" t="inlineStr">
        <is>
          <t>Rodrigo Lindemann Kruger</t>
        </is>
      </c>
      <c r="C104" s="257" t="n"/>
      <c r="D104" s="255" t="n"/>
      <c r="E104" s="351" t="n">
        <v>1050</v>
      </c>
      <c r="F104" s="351" t="n"/>
      <c r="G104" s="351" t="n"/>
      <c r="H104" s="351" t="n"/>
      <c r="I104" s="351" t="n"/>
      <c r="J104" s="351" t="n"/>
      <c r="K104" s="351" t="n"/>
      <c r="L104" s="351" t="n"/>
      <c r="M104" s="351" t="n"/>
      <c r="N104" s="351" t="n"/>
      <c r="O104" s="351" t="n"/>
      <c r="P104" s="351" t="n"/>
      <c r="Q104" s="351" t="n"/>
      <c r="R104" s="351" t="n"/>
      <c r="S104" s="351" t="n"/>
      <c r="T104" s="351" t="n"/>
      <c r="U104" s="351" t="n"/>
      <c r="V104" s="351" t="n"/>
      <c r="W104" s="351" t="n"/>
      <c r="X104" s="351" t="n"/>
      <c r="Y104" s="351" t="n"/>
      <c r="Z104" s="351" t="n"/>
      <c r="AA104" s="351" t="n"/>
      <c r="AB104" s="351" t="n"/>
      <c r="AC104" s="351" t="n"/>
      <c r="AD104" s="351" t="n"/>
      <c r="AE104" s="351" t="n"/>
      <c r="AF104" s="351" t="n"/>
      <c r="AG104" s="351" t="n"/>
      <c r="AH104" s="351" t="n"/>
      <c r="AI104" s="351" t="n"/>
      <c r="AJ104" s="351" t="n"/>
      <c r="AK104" s="351" t="n"/>
      <c r="AL104" s="351" t="n"/>
      <c r="AM104" s="351" t="n"/>
      <c r="AN104" s="351" t="n"/>
      <c r="AO104" s="351" t="n"/>
      <c r="AP104" s="351" t="n"/>
      <c r="AQ104" s="351" t="n"/>
      <c r="AR104" s="351" t="n"/>
      <c r="AS104" s="351" t="n"/>
      <c r="AT104" s="351" t="n"/>
      <c r="AU104" s="351" t="n"/>
      <c r="AV104" s="351" t="n"/>
      <c r="AW104" s="351" t="n"/>
      <c r="AX104" s="351" t="n"/>
      <c r="AY104" s="351" t="n"/>
      <c r="AZ104" s="351" t="n"/>
      <c r="BA104" s="351" t="n"/>
      <c r="BB104" s="351" t="n"/>
      <c r="BC104" s="351" t="n"/>
      <c r="BD104" s="351" t="n"/>
      <c r="BE104" s="351" t="n"/>
      <c r="BF104" s="351" t="n"/>
      <c r="BG104" s="351" t="n"/>
      <c r="BH104" s="350">
        <f>SUM(E104:BG104)</f>
        <v/>
      </c>
      <c r="CO104" s="352" t="n"/>
    </row>
    <row r="105" ht="13.9" customHeight="1" s="276">
      <c r="A105" s="48">
        <f>A104+1</f>
        <v/>
      </c>
      <c r="B105" s="277" t="inlineStr">
        <is>
          <t>Ronaldo David Viana Barbosa</t>
        </is>
      </c>
      <c r="C105" s="257" t="n"/>
      <c r="D105" s="255" t="n"/>
      <c r="E105" s="351" t="n">
        <v>3000</v>
      </c>
      <c r="F105" s="351" t="n"/>
      <c r="G105" s="351" t="n"/>
      <c r="H105" s="351" t="n"/>
      <c r="I105" s="351" t="n"/>
      <c r="J105" s="351" t="n"/>
      <c r="K105" s="351" t="n"/>
      <c r="L105" s="351" t="n"/>
      <c r="M105" s="351" t="n"/>
      <c r="N105" s="351" t="n"/>
      <c r="O105" s="351" t="n"/>
      <c r="P105" s="351" t="n"/>
      <c r="Q105" s="351" t="n"/>
      <c r="R105" s="351" t="n"/>
      <c r="S105" s="351" t="n"/>
      <c r="T105" s="351" t="n"/>
      <c r="U105" s="351" t="n"/>
      <c r="V105" s="351" t="n"/>
      <c r="W105" s="351" t="n"/>
      <c r="X105" s="351" t="n"/>
      <c r="Y105" s="351" t="n"/>
      <c r="Z105" s="351" t="n"/>
      <c r="AA105" s="351" t="n"/>
      <c r="AB105" s="351" t="n"/>
      <c r="AC105" s="351" t="n"/>
      <c r="AD105" s="351" t="n"/>
      <c r="AE105" s="351" t="n"/>
      <c r="AF105" s="351" t="n"/>
      <c r="AG105" s="351" t="n"/>
      <c r="AH105" s="351" t="n"/>
      <c r="AI105" s="351" t="n"/>
      <c r="AJ105" s="351" t="n"/>
      <c r="AK105" s="351" t="n"/>
      <c r="AL105" s="351" t="n"/>
      <c r="AM105" s="351" t="n"/>
      <c r="AN105" s="351" t="n"/>
      <c r="AO105" s="351" t="n"/>
      <c r="AP105" s="351" t="n"/>
      <c r="AQ105" s="351" t="n"/>
      <c r="AR105" s="351" t="n"/>
      <c r="AS105" s="351" t="n"/>
      <c r="AT105" s="351" t="n"/>
      <c r="AU105" s="351" t="n"/>
      <c r="AV105" s="351" t="n"/>
      <c r="AW105" s="351" t="n"/>
      <c r="AX105" s="351" t="n"/>
      <c r="AY105" s="351" t="n"/>
      <c r="AZ105" s="351" t="n"/>
      <c r="BA105" s="351" t="n"/>
      <c r="BB105" s="351" t="n"/>
      <c r="BC105" s="351" t="n"/>
      <c r="BD105" s="351" t="n"/>
      <c r="BE105" s="351" t="n"/>
      <c r="BF105" s="351" t="n"/>
      <c r="BG105" s="351" t="n"/>
      <c r="BH105" s="350">
        <f>SUM(E105:BG105)</f>
        <v/>
      </c>
      <c r="CO105" s="352" t="n"/>
    </row>
    <row r="106" ht="13.9" customHeight="1" s="276">
      <c r="A106" s="48">
        <f>A105+1</f>
        <v/>
      </c>
      <c r="B106" s="277" t="inlineStr">
        <is>
          <t>Sebastian Mazzolli Sebastiani</t>
        </is>
      </c>
      <c r="C106" s="257" t="n"/>
      <c r="D106" s="255" t="n"/>
      <c r="E106" s="351" t="n">
        <v>1050</v>
      </c>
      <c r="F106" s="351" t="n">
        <v>1050</v>
      </c>
      <c r="G106" s="351" t="n">
        <v>1050</v>
      </c>
      <c r="H106" s="351" t="n">
        <v>1050</v>
      </c>
      <c r="I106" s="351" t="n">
        <v>1050</v>
      </c>
      <c r="J106" s="351" t="n">
        <v>1050</v>
      </c>
      <c r="K106" s="351" t="n">
        <v>1050</v>
      </c>
      <c r="L106" s="351" t="n"/>
      <c r="M106" s="351" t="n"/>
      <c r="N106" s="351" t="n"/>
      <c r="O106" s="351" t="n"/>
      <c r="P106" s="351" t="n"/>
      <c r="Q106" s="351" t="n"/>
      <c r="R106" s="351" t="n"/>
      <c r="S106" s="351" t="n"/>
      <c r="T106" s="351" t="n"/>
      <c r="U106" s="351" t="n"/>
      <c r="V106" s="351" t="n"/>
      <c r="W106" s="351" t="n"/>
      <c r="X106" s="351" t="n"/>
      <c r="Y106" s="351" t="n"/>
      <c r="Z106" s="351" t="n"/>
      <c r="AA106" s="351" t="n"/>
      <c r="AB106" s="351" t="n"/>
      <c r="AC106" s="351" t="n"/>
      <c r="AD106" s="351" t="n"/>
      <c r="AE106" s="351" t="n"/>
      <c r="AF106" s="351" t="n"/>
      <c r="AG106" s="351" t="n"/>
      <c r="AH106" s="351" t="n"/>
      <c r="AI106" s="351" t="n"/>
      <c r="AJ106" s="351" t="n"/>
      <c r="AK106" s="351" t="n"/>
      <c r="AL106" s="351" t="n"/>
      <c r="AM106" s="351" t="n"/>
      <c r="AN106" s="351" t="n"/>
      <c r="AO106" s="351" t="n"/>
      <c r="AP106" s="351" t="n"/>
      <c r="AQ106" s="351" t="n"/>
      <c r="AR106" s="351" t="n"/>
      <c r="AS106" s="351" t="n"/>
      <c r="AT106" s="351" t="n"/>
      <c r="AU106" s="351" t="n"/>
      <c r="AV106" s="351" t="n"/>
      <c r="AW106" s="351" t="n"/>
      <c r="AX106" s="351" t="n"/>
      <c r="AY106" s="351" t="n"/>
      <c r="AZ106" s="351" t="n"/>
      <c r="BA106" s="351" t="n"/>
      <c r="BB106" s="351" t="n"/>
      <c r="BC106" s="351" t="n"/>
      <c r="BD106" s="351" t="n"/>
      <c r="BE106" s="351" t="n"/>
      <c r="BF106" s="351" t="n"/>
      <c r="BG106" s="351" t="n"/>
      <c r="BH106" s="350">
        <f>SUM(E106:BG106)</f>
        <v/>
      </c>
      <c r="CO106" s="352" t="n"/>
    </row>
    <row r="107" ht="13.9" customHeight="1" s="276">
      <c r="A107" s="48">
        <f>A106+1</f>
        <v/>
      </c>
      <c r="B107" s="277" t="inlineStr">
        <is>
          <t>Stefani Da Silva</t>
        </is>
      </c>
      <c r="C107" s="257" t="n"/>
      <c r="D107" s="255" t="n"/>
      <c r="E107" s="351" t="n">
        <v>2200</v>
      </c>
      <c r="F107" s="351" t="n">
        <v>2200</v>
      </c>
      <c r="G107" s="351" t="n">
        <v>2200</v>
      </c>
      <c r="H107" s="351" t="n">
        <v>2200</v>
      </c>
      <c r="I107" s="351" t="n">
        <v>2200</v>
      </c>
      <c r="J107" s="351" t="n">
        <v>2200</v>
      </c>
      <c r="K107" s="351" t="n">
        <v>2200</v>
      </c>
      <c r="L107" s="351" t="n">
        <v>2200</v>
      </c>
      <c r="M107" s="351" t="n">
        <v>2200</v>
      </c>
      <c r="N107" s="351" t="n"/>
      <c r="O107" s="351" t="n"/>
      <c r="P107" s="351" t="n"/>
      <c r="Q107" s="351" t="n"/>
      <c r="R107" s="351" t="n"/>
      <c r="S107" s="351" t="n"/>
      <c r="T107" s="351" t="n"/>
      <c r="U107" s="351" t="n"/>
      <c r="V107" s="351" t="n"/>
      <c r="W107" s="351" t="n"/>
      <c r="X107" s="351" t="n"/>
      <c r="Y107" s="351" t="n"/>
      <c r="Z107" s="351" t="n"/>
      <c r="AA107" s="351" t="n"/>
      <c r="AB107" s="351" t="n"/>
      <c r="AC107" s="351" t="n"/>
      <c r="AD107" s="351" t="n"/>
      <c r="AE107" s="351" t="n"/>
      <c r="AF107" s="351" t="n"/>
      <c r="AG107" s="351" t="n"/>
      <c r="AH107" s="351" t="n"/>
      <c r="AI107" s="351" t="n"/>
      <c r="AJ107" s="351" t="n"/>
      <c r="AK107" s="351" t="n"/>
      <c r="AL107" s="351" t="n"/>
      <c r="AM107" s="351" t="n"/>
      <c r="AN107" s="351" t="n"/>
      <c r="AO107" s="351" t="n"/>
      <c r="AP107" s="351" t="n"/>
      <c r="AQ107" s="351" t="n"/>
      <c r="AR107" s="351" t="n"/>
      <c r="AS107" s="351" t="n"/>
      <c r="AT107" s="351" t="n"/>
      <c r="AU107" s="351" t="n"/>
      <c r="AV107" s="351" t="n"/>
      <c r="AW107" s="351" t="n"/>
      <c r="AX107" s="351" t="n"/>
      <c r="AY107" s="351" t="n"/>
      <c r="AZ107" s="351" t="n"/>
      <c r="BA107" s="351" t="n"/>
      <c r="BB107" s="351" t="n"/>
      <c r="BC107" s="351" t="n"/>
      <c r="BD107" s="351" t="n"/>
      <c r="BE107" s="351" t="n"/>
      <c r="BF107" s="351" t="n"/>
      <c r="BG107" s="351" t="n"/>
      <c r="BH107" s="350">
        <f>SUM(E107:BG107)</f>
        <v/>
      </c>
      <c r="CO107" s="352" t="n"/>
    </row>
    <row r="108" ht="13.9" customHeight="1" s="276">
      <c r="A108" s="48">
        <f>A107+1</f>
        <v/>
      </c>
      <c r="B108" s="277" t="inlineStr">
        <is>
          <t>Vanessa Fortunato Freitas Varela</t>
        </is>
      </c>
      <c r="C108" s="257" t="n"/>
      <c r="D108" s="255" t="n"/>
      <c r="E108" s="351" t="n">
        <v>2200</v>
      </c>
      <c r="F108" s="351" t="n"/>
      <c r="G108" s="351" t="n"/>
      <c r="H108" s="351" t="n"/>
      <c r="I108" s="351" t="n"/>
      <c r="J108" s="351" t="n"/>
      <c r="K108" s="351" t="n"/>
      <c r="L108" s="351" t="n"/>
      <c r="M108" s="351" t="n"/>
      <c r="N108" s="351" t="n"/>
      <c r="O108" s="351" t="n"/>
      <c r="P108" s="351" t="n"/>
      <c r="Q108" s="351" t="n"/>
      <c r="R108" s="351" t="n"/>
      <c r="S108" s="351" t="n"/>
      <c r="T108" s="351" t="n"/>
      <c r="U108" s="351" t="n"/>
      <c r="V108" s="351" t="n"/>
      <c r="W108" s="351" t="n"/>
      <c r="X108" s="351" t="n"/>
      <c r="Y108" s="351" t="n"/>
      <c r="Z108" s="351" t="n"/>
      <c r="AA108" s="351" t="n"/>
      <c r="AB108" s="351" t="n"/>
      <c r="AC108" s="351" t="n"/>
      <c r="AD108" s="351" t="n"/>
      <c r="AE108" s="351" t="n"/>
      <c r="AF108" s="351" t="n"/>
      <c r="AG108" s="351" t="n"/>
      <c r="AH108" s="351" t="n"/>
      <c r="AI108" s="351" t="n"/>
      <c r="AJ108" s="351" t="n"/>
      <c r="AK108" s="351" t="n"/>
      <c r="AL108" s="351" t="n"/>
      <c r="AM108" s="351" t="n"/>
      <c r="AN108" s="351" t="n"/>
      <c r="AO108" s="351" t="n"/>
      <c r="AP108" s="351" t="n"/>
      <c r="AQ108" s="351" t="n"/>
      <c r="AR108" s="351" t="n"/>
      <c r="AS108" s="351" t="n"/>
      <c r="AT108" s="351" t="n"/>
      <c r="AU108" s="351" t="n"/>
      <c r="AV108" s="351" t="n"/>
      <c r="AW108" s="351" t="n"/>
      <c r="AX108" s="351" t="n"/>
      <c r="AY108" s="351" t="n"/>
      <c r="AZ108" s="351" t="n"/>
      <c r="BA108" s="351" t="n"/>
      <c r="BB108" s="351" t="n"/>
      <c r="BC108" s="351" t="n"/>
      <c r="BD108" s="351" t="n"/>
      <c r="BE108" s="351" t="n"/>
      <c r="BF108" s="351" t="n"/>
      <c r="BG108" s="351" t="n"/>
      <c r="BH108" s="350">
        <f>SUM(E108:BG108)</f>
        <v/>
      </c>
      <c r="CO108" s="352" t="n"/>
    </row>
    <row r="109" ht="13.9" customHeight="1" s="276">
      <c r="A109" s="48">
        <f>A108+1</f>
        <v/>
      </c>
      <c r="B109" s="277" t="inlineStr">
        <is>
          <t>Victor Santos Nágera Oliveira</t>
        </is>
      </c>
      <c r="C109" s="257" t="n"/>
      <c r="D109" s="255" t="n"/>
      <c r="E109" s="351" t="n">
        <v>1050</v>
      </c>
      <c r="F109" s="351" t="n">
        <v>1050</v>
      </c>
      <c r="G109" s="351" t="n">
        <v>1050</v>
      </c>
      <c r="H109" s="351" t="n">
        <v>1050</v>
      </c>
      <c r="I109" s="351" t="n">
        <v>1050</v>
      </c>
      <c r="J109" s="351" t="n">
        <v>1050</v>
      </c>
      <c r="K109" s="351" t="n">
        <v>1050</v>
      </c>
      <c r="L109" s="351" t="n">
        <v>1050</v>
      </c>
      <c r="M109" s="351" t="n">
        <v>1050</v>
      </c>
      <c r="N109" s="351" t="n"/>
      <c r="O109" s="351" t="n"/>
      <c r="P109" s="351" t="n"/>
      <c r="Q109" s="351" t="n"/>
      <c r="R109" s="351" t="n"/>
      <c r="S109" s="351" t="n"/>
      <c r="T109" s="351" t="n"/>
      <c r="U109" s="351" t="n"/>
      <c r="V109" s="351" t="n"/>
      <c r="W109" s="351" t="n"/>
      <c r="X109" s="351" t="n"/>
      <c r="Y109" s="351" t="n"/>
      <c r="Z109" s="351" t="n"/>
      <c r="AA109" s="351" t="n"/>
      <c r="AB109" s="351" t="n"/>
      <c r="AC109" s="351" t="n"/>
      <c r="AD109" s="351" t="n"/>
      <c r="AE109" s="351" t="n"/>
      <c r="AF109" s="351" t="n"/>
      <c r="AG109" s="351" t="n"/>
      <c r="AH109" s="351" t="n"/>
      <c r="AI109" s="351" t="n"/>
      <c r="AJ109" s="351" t="n"/>
      <c r="AK109" s="351" t="n"/>
      <c r="AL109" s="351" t="n"/>
      <c r="AM109" s="351" t="n"/>
      <c r="AN109" s="351" t="n"/>
      <c r="AO109" s="351" t="n"/>
      <c r="AP109" s="351" t="n"/>
      <c r="AQ109" s="351" t="n"/>
      <c r="AR109" s="351" t="n"/>
      <c r="AS109" s="351" t="n"/>
      <c r="AT109" s="351" t="n"/>
      <c r="AU109" s="351" t="n"/>
      <c r="AV109" s="351" t="n"/>
      <c r="AW109" s="351" t="n"/>
      <c r="AX109" s="351" t="n"/>
      <c r="AY109" s="351" t="n"/>
      <c r="AZ109" s="351" t="n"/>
      <c r="BA109" s="351" t="n"/>
      <c r="BB109" s="351" t="n"/>
      <c r="BC109" s="351" t="n"/>
      <c r="BD109" s="351" t="n"/>
      <c r="BE109" s="351" t="n"/>
      <c r="BF109" s="351" t="n"/>
      <c r="BG109" s="351" t="n"/>
      <c r="BH109" s="350">
        <f>SUM(E109:BG109)</f>
        <v/>
      </c>
      <c r="CO109" s="352" t="n"/>
    </row>
    <row r="110" ht="13.9" customHeight="1" s="276">
      <c r="A110" s="48">
        <f>A109+1</f>
        <v/>
      </c>
      <c r="B110" s="277" t="inlineStr">
        <is>
          <t>Wellington Longuini Repette</t>
        </is>
      </c>
      <c r="C110" s="257" t="n"/>
      <c r="D110" s="255" t="n"/>
      <c r="E110" s="351" t="n">
        <v>5000</v>
      </c>
      <c r="F110" s="351" t="n">
        <v>5000</v>
      </c>
      <c r="G110" s="351" t="n">
        <v>5000</v>
      </c>
      <c r="H110" s="351" t="n">
        <v>5000</v>
      </c>
      <c r="I110" s="351" t="n">
        <v>5000</v>
      </c>
      <c r="J110" s="351" t="n">
        <v>5000</v>
      </c>
      <c r="K110" s="351" t="n">
        <v>5000</v>
      </c>
      <c r="L110" s="351" t="n"/>
      <c r="M110" s="351" t="n"/>
      <c r="N110" s="351" t="n"/>
      <c r="O110" s="351" t="n"/>
      <c r="P110" s="351" t="n"/>
      <c r="Q110" s="351" t="n"/>
      <c r="R110" s="351" t="n"/>
      <c r="S110" s="351" t="n"/>
      <c r="T110" s="351" t="n"/>
      <c r="U110" s="351" t="n"/>
      <c r="V110" s="351" t="n"/>
      <c r="W110" s="351" t="n"/>
      <c r="X110" s="351" t="n"/>
      <c r="Y110" s="351" t="n"/>
      <c r="Z110" s="351" t="n"/>
      <c r="AA110" s="351" t="n"/>
      <c r="AB110" s="351" t="n"/>
      <c r="AC110" s="351" t="n"/>
      <c r="AD110" s="351" t="n"/>
      <c r="AE110" s="351" t="n"/>
      <c r="AF110" s="351" t="n"/>
      <c r="AG110" s="351" t="n"/>
      <c r="AH110" s="351" t="n"/>
      <c r="AI110" s="351" t="n"/>
      <c r="AJ110" s="351" t="n"/>
      <c r="AK110" s="351" t="n"/>
      <c r="AL110" s="351" t="n"/>
      <c r="AM110" s="351" t="n"/>
      <c r="AN110" s="351" t="n"/>
      <c r="AO110" s="351" t="n"/>
      <c r="AP110" s="351" t="n"/>
      <c r="AQ110" s="351" t="n"/>
      <c r="AR110" s="351" t="n"/>
      <c r="AS110" s="351" t="n"/>
      <c r="AT110" s="351" t="n"/>
      <c r="AU110" s="351" t="n"/>
      <c r="AV110" s="351" t="n"/>
      <c r="AW110" s="351" t="n"/>
      <c r="AX110" s="351" t="n"/>
      <c r="AY110" s="351" t="n"/>
      <c r="AZ110" s="351" t="n"/>
      <c r="BA110" s="351" t="n"/>
      <c r="BB110" s="351" t="n"/>
      <c r="BC110" s="351" t="n"/>
      <c r="BD110" s="351" t="n"/>
      <c r="BE110" s="351" t="n"/>
      <c r="BF110" s="351" t="n"/>
      <c r="BG110" s="351" t="n"/>
      <c r="BH110" s="350">
        <f>SUM(E110:BG110)</f>
        <v/>
      </c>
      <c r="CO110" s="352" t="n"/>
    </row>
    <row r="111" ht="13.9" customHeight="1" s="276">
      <c r="A111" s="48">
        <f>A110+1</f>
        <v/>
      </c>
      <c r="B111" s="277" t="inlineStr">
        <is>
          <t>Yuri Muller Oleiro</t>
        </is>
      </c>
      <c r="C111" s="257" t="n"/>
      <c r="D111" s="255" t="n"/>
      <c r="E111" s="351" t="n">
        <v>1050</v>
      </c>
      <c r="F111" s="351" t="n">
        <v>1050</v>
      </c>
      <c r="G111" s="351" t="n">
        <v>1050</v>
      </c>
      <c r="H111" s="351" t="n">
        <v>1050</v>
      </c>
      <c r="I111" s="351" t="n">
        <v>1050</v>
      </c>
      <c r="J111" s="351" t="n">
        <v>1050</v>
      </c>
      <c r="K111" s="351" t="n">
        <v>1050</v>
      </c>
      <c r="L111" s="351" t="n">
        <v>1050</v>
      </c>
      <c r="M111" s="351" t="n">
        <v>1050</v>
      </c>
      <c r="N111" s="351" t="n"/>
      <c r="O111" s="351" t="n"/>
      <c r="P111" s="351" t="n"/>
      <c r="Q111" s="351" t="n"/>
      <c r="R111" s="351" t="n"/>
      <c r="S111" s="351" t="n"/>
      <c r="T111" s="351" t="n"/>
      <c r="U111" s="351" t="n"/>
      <c r="V111" s="351" t="n"/>
      <c r="W111" s="351" t="n"/>
      <c r="X111" s="351" t="n"/>
      <c r="Y111" s="351" t="n"/>
      <c r="Z111" s="351" t="n"/>
      <c r="AA111" s="351" t="n"/>
      <c r="AB111" s="351" t="n"/>
      <c r="AC111" s="351" t="n"/>
      <c r="AD111" s="351" t="n"/>
      <c r="AE111" s="351" t="n"/>
      <c r="AF111" s="351" t="n"/>
      <c r="AG111" s="351" t="n"/>
      <c r="AH111" s="351" t="n"/>
      <c r="AI111" s="351" t="n"/>
      <c r="AJ111" s="351" t="n"/>
      <c r="AK111" s="351" t="n"/>
      <c r="AL111" s="351" t="n"/>
      <c r="AM111" s="351" t="n"/>
      <c r="AN111" s="351" t="n"/>
      <c r="AO111" s="351" t="n"/>
      <c r="AP111" s="351" t="n"/>
      <c r="AQ111" s="351" t="n"/>
      <c r="AR111" s="351" t="n"/>
      <c r="AS111" s="351" t="n"/>
      <c r="AT111" s="351" t="n"/>
      <c r="AU111" s="351" t="n"/>
      <c r="AV111" s="351" t="n"/>
      <c r="AW111" s="351" t="n"/>
      <c r="AX111" s="351" t="n"/>
      <c r="AY111" s="351" t="n"/>
      <c r="AZ111" s="351" t="n"/>
      <c r="BA111" s="351" t="n"/>
      <c r="BB111" s="351" t="n"/>
      <c r="BC111" s="351" t="n"/>
      <c r="BD111" s="351" t="n"/>
      <c r="BE111" s="351" t="n"/>
      <c r="BF111" s="351" t="n"/>
      <c r="BG111" s="351" t="n"/>
      <c r="BH111" s="350">
        <f>SUM(E111:BG111)</f>
        <v/>
      </c>
      <c r="CO111" s="352" t="n"/>
    </row>
    <row r="112" ht="13.9" customHeight="1" s="276">
      <c r="A112" s="48">
        <f>A111+1</f>
        <v/>
      </c>
      <c r="B112" s="277" t="inlineStr">
        <is>
          <t>Tom Pereira Hunt</t>
        </is>
      </c>
      <c r="C112" s="257" t="n"/>
      <c r="D112" s="255" t="n"/>
      <c r="E112" s="351" t="n">
        <v>1050</v>
      </c>
      <c r="F112" s="351" t="n">
        <v>1050</v>
      </c>
      <c r="G112" s="351" t="n">
        <v>1050</v>
      </c>
      <c r="H112" s="351" t="n">
        <v>1050</v>
      </c>
      <c r="I112" s="351" t="n">
        <v>1050</v>
      </c>
      <c r="J112" s="351" t="n">
        <v>1050</v>
      </c>
      <c r="K112" s="351" t="n">
        <v>1050</v>
      </c>
      <c r="L112" s="351" t="n">
        <v>1050</v>
      </c>
      <c r="M112" s="351" t="n">
        <v>1050</v>
      </c>
      <c r="N112" s="351" t="n"/>
      <c r="O112" s="351" t="n"/>
      <c r="P112" s="351" t="n"/>
      <c r="Q112" s="351" t="n"/>
      <c r="R112" s="351" t="n"/>
      <c r="S112" s="351" t="n"/>
      <c r="T112" s="351" t="n"/>
      <c r="U112" s="351" t="n"/>
      <c r="V112" s="351" t="n"/>
      <c r="W112" s="351" t="n"/>
      <c r="X112" s="351" t="n"/>
      <c r="Y112" s="351" t="n"/>
      <c r="Z112" s="351" t="n"/>
      <c r="AA112" s="351" t="n"/>
      <c r="AB112" s="351" t="n"/>
      <c r="AC112" s="351" t="n"/>
      <c r="AD112" s="351" t="n"/>
      <c r="AE112" s="351" t="n"/>
      <c r="AF112" s="351" t="n"/>
      <c r="AG112" s="351" t="n"/>
      <c r="AH112" s="351" t="n"/>
      <c r="AI112" s="351" t="n"/>
      <c r="AJ112" s="351" t="n"/>
      <c r="AK112" s="351" t="n"/>
      <c r="AL112" s="351" t="n"/>
      <c r="AM112" s="351" t="n"/>
      <c r="AN112" s="351" t="n"/>
      <c r="AO112" s="351" t="n"/>
      <c r="AP112" s="351" t="n"/>
      <c r="AQ112" s="351" t="n"/>
      <c r="AR112" s="351" t="n"/>
      <c r="AS112" s="351" t="n"/>
      <c r="AT112" s="351" t="n"/>
      <c r="AU112" s="351" t="n"/>
      <c r="AV112" s="351" t="n"/>
      <c r="AW112" s="351" t="n"/>
      <c r="AX112" s="351" t="n"/>
      <c r="AY112" s="351" t="n"/>
      <c r="AZ112" s="351" t="n"/>
      <c r="BA112" s="351" t="n"/>
      <c r="BB112" s="351" t="n"/>
      <c r="BC112" s="351" t="n"/>
      <c r="BD112" s="351" t="n"/>
      <c r="BE112" s="351" t="n"/>
      <c r="BF112" s="351" t="n"/>
      <c r="BG112" s="351" t="n"/>
      <c r="BH112" s="350">
        <f>SUM(E112:BG112)</f>
        <v/>
      </c>
      <c r="CO112" s="352" t="n"/>
    </row>
    <row r="113" ht="13.9" customHeight="1" s="276">
      <c r="A113" s="48">
        <f>A112+1</f>
        <v/>
      </c>
      <c r="B113" s="254" t="inlineStr">
        <is>
          <t>Consultores</t>
        </is>
      </c>
      <c r="C113" s="257" t="n"/>
      <c r="D113" s="255" t="n"/>
      <c r="E113" s="351" t="n">
        <v>20000</v>
      </c>
      <c r="F113" s="351" t="n">
        <v>20000</v>
      </c>
      <c r="G113" s="351" t="n">
        <v>20000</v>
      </c>
      <c r="H113" s="351" t="n">
        <v>20000</v>
      </c>
      <c r="I113" s="351" t="n">
        <v>20000</v>
      </c>
      <c r="J113" s="351" t="n">
        <v>20000</v>
      </c>
      <c r="K113" s="351" t="n">
        <v>20000</v>
      </c>
      <c r="L113" s="351" t="n">
        <v>20000</v>
      </c>
      <c r="M113" s="351" t="n">
        <v>20000</v>
      </c>
      <c r="N113" s="351" t="n">
        <v>20000</v>
      </c>
      <c r="O113" s="351" t="n">
        <v>20000</v>
      </c>
      <c r="P113" s="351" t="n">
        <v>20000</v>
      </c>
      <c r="Q113" s="351" t="n">
        <v>20000</v>
      </c>
      <c r="R113" s="351" t="n">
        <v>20000</v>
      </c>
      <c r="S113" s="351" t="n">
        <v>20000</v>
      </c>
      <c r="T113" s="351" t="n">
        <v>20000</v>
      </c>
      <c r="U113" s="351" t="n">
        <v>20000</v>
      </c>
      <c r="V113" s="351" t="n">
        <v>20000</v>
      </c>
      <c r="W113" s="351" t="n">
        <v>20000</v>
      </c>
      <c r="X113" s="351" t="n">
        <v>20000</v>
      </c>
      <c r="Y113" s="351" t="n">
        <v>20000</v>
      </c>
      <c r="Z113" s="351" t="n">
        <v>20000</v>
      </c>
      <c r="AA113" s="351" t="n">
        <v>20000</v>
      </c>
      <c r="AB113" s="351" t="n">
        <v>20000</v>
      </c>
      <c r="AC113" s="351" t="n">
        <v>20000</v>
      </c>
      <c r="AD113" s="351" t="n">
        <v>20000</v>
      </c>
      <c r="AE113" s="351" t="n">
        <v>20000</v>
      </c>
      <c r="AF113" s="351" t="n">
        <v>20000</v>
      </c>
      <c r="AG113" s="351" t="n">
        <v>20000</v>
      </c>
      <c r="AH113" s="351" t="n">
        <v>20000</v>
      </c>
      <c r="AI113" s="351" t="n"/>
      <c r="AJ113" s="351" t="n"/>
      <c r="AK113" s="351" t="n"/>
      <c r="AL113" s="351" t="n"/>
      <c r="AM113" s="351" t="n"/>
      <c r="AN113" s="351" t="n"/>
      <c r="AO113" s="351" t="n"/>
      <c r="AP113" s="351" t="n"/>
      <c r="AQ113" s="351" t="n"/>
      <c r="AR113" s="351" t="n"/>
      <c r="AS113" s="351" t="n"/>
      <c r="AT113" s="351" t="n"/>
      <c r="AU113" s="351" t="n"/>
      <c r="AV113" s="351" t="n"/>
      <c r="AW113" s="351" t="n"/>
      <c r="AX113" s="351" t="n"/>
      <c r="AY113" s="351" t="n"/>
      <c r="AZ113" s="351" t="n"/>
      <c r="BA113" s="351" t="n"/>
      <c r="BB113" s="351" t="n"/>
      <c r="BC113" s="351" t="n"/>
      <c r="BD113" s="351" t="n"/>
      <c r="BE113" s="351" t="n"/>
      <c r="BF113" s="351" t="n"/>
      <c r="BG113" s="351" t="n"/>
      <c r="BH113" s="350">
        <f>SUM(E113:BG113)</f>
        <v/>
      </c>
    </row>
    <row r="114" ht="13.9" customHeight="1" s="276">
      <c r="A114" s="48">
        <f>A113+1</f>
        <v/>
      </c>
      <c r="B114" s="254" t="inlineStr">
        <is>
          <t>Serviços de Terceiros</t>
        </is>
      </c>
      <c r="C114" s="257" t="n"/>
      <c r="D114" s="255" t="n"/>
      <c r="E114" s="351" t="n">
        <v>290000</v>
      </c>
      <c r="F114" s="351" t="n">
        <v>290000</v>
      </c>
      <c r="G114" s="351" t="n">
        <v>290000</v>
      </c>
      <c r="H114" s="351" t="n">
        <v>290000</v>
      </c>
      <c r="I114" s="351" t="n">
        <v>290000</v>
      </c>
      <c r="J114" s="351" t="n">
        <v>290000</v>
      </c>
      <c r="K114" s="351" t="n">
        <v>290000</v>
      </c>
      <c r="L114" s="351" t="n">
        <v>290000</v>
      </c>
      <c r="M114" s="351" t="n">
        <v>290000</v>
      </c>
      <c r="N114" s="351" t="n">
        <v>290000</v>
      </c>
      <c r="O114" s="351" t="n">
        <v>290000</v>
      </c>
      <c r="P114" s="351" t="n">
        <v>290000</v>
      </c>
      <c r="Q114" s="351" t="n">
        <v>290000</v>
      </c>
      <c r="R114" s="351" t="n">
        <v>290000</v>
      </c>
      <c r="S114" s="351" t="n">
        <v>290000</v>
      </c>
      <c r="T114" s="351" t="n">
        <v>290000</v>
      </c>
      <c r="U114" s="351" t="n">
        <v>290000</v>
      </c>
      <c r="V114" s="351" t="n">
        <v>290000</v>
      </c>
      <c r="W114" s="351" t="n">
        <v>290000</v>
      </c>
      <c r="X114" s="351" t="n">
        <v>290000</v>
      </c>
      <c r="Y114" s="351" t="n">
        <v>290000</v>
      </c>
      <c r="Z114" s="351" t="n">
        <v>290000</v>
      </c>
      <c r="AA114" s="351" t="n">
        <v>290000</v>
      </c>
      <c r="AB114" s="351" t="n">
        <v>290000</v>
      </c>
      <c r="AC114" s="351" t="n">
        <v>290000</v>
      </c>
      <c r="AD114" s="351" t="n">
        <v>290000</v>
      </c>
      <c r="AE114" s="351" t="n">
        <v>290000</v>
      </c>
      <c r="AF114" s="351" t="n">
        <v>290000</v>
      </c>
      <c r="AG114" s="351" t="n">
        <v>290000</v>
      </c>
      <c r="AH114" s="351" t="n">
        <v>290000</v>
      </c>
      <c r="AI114" s="351" t="n">
        <v>290000</v>
      </c>
      <c r="AJ114" s="351" t="n">
        <v>290000</v>
      </c>
      <c r="AK114" s="351" t="n">
        <v>290000</v>
      </c>
      <c r="AL114" s="351" t="n">
        <v>290000</v>
      </c>
      <c r="AM114" s="351" t="n">
        <v>290000</v>
      </c>
      <c r="AN114" s="351" t="n">
        <v>290000</v>
      </c>
      <c r="AO114" s="351" t="n">
        <v>290000</v>
      </c>
      <c r="AP114" s="351" t="n">
        <v>290000</v>
      </c>
      <c r="AQ114" s="351" t="n">
        <v>290000</v>
      </c>
      <c r="AR114" s="351" t="n">
        <v>290000</v>
      </c>
      <c r="AS114" s="351" t="n">
        <v>290000</v>
      </c>
      <c r="AT114" s="351" t="n">
        <v>290000</v>
      </c>
      <c r="AU114" s="351" t="n">
        <v>290000</v>
      </c>
      <c r="AV114" s="351" t="n">
        <v>290000</v>
      </c>
      <c r="AW114" s="351" t="n">
        <v>290000</v>
      </c>
      <c r="AX114" s="351" t="n">
        <v>290000</v>
      </c>
      <c r="AY114" s="351" t="n">
        <v>290000</v>
      </c>
      <c r="AZ114" s="351" t="n">
        <v>290000</v>
      </c>
      <c r="BA114" s="351" t="n">
        <v>290000</v>
      </c>
      <c r="BB114" s="351" t="n">
        <v>290000</v>
      </c>
      <c r="BC114" s="351" t="n">
        <v>290000</v>
      </c>
      <c r="BD114" s="351" t="n">
        <v>290000</v>
      </c>
      <c r="BE114" s="351" t="n">
        <v>290000</v>
      </c>
      <c r="BF114" s="351" t="n">
        <v>290000</v>
      </c>
      <c r="BG114" s="351" t="n">
        <v>290000</v>
      </c>
      <c r="BH114" s="350">
        <f>SUM(E114:BG114)</f>
        <v/>
      </c>
    </row>
    <row r="115" ht="13.9" customHeight="1" s="276">
      <c r="A115" s="48">
        <f>A114+1</f>
        <v/>
      </c>
      <c r="B115" s="254" t="inlineStr">
        <is>
          <t>Passagens aéreas</t>
        </is>
      </c>
      <c r="C115" s="257" t="n"/>
      <c r="D115" s="255" t="n"/>
      <c r="E115" s="351" t="n">
        <v>30000</v>
      </c>
      <c r="F115" s="351" t="n">
        <v>30000</v>
      </c>
      <c r="G115" s="351" t="n">
        <v>30000</v>
      </c>
      <c r="H115" s="351" t="n">
        <v>30000</v>
      </c>
      <c r="I115" s="351" t="n">
        <v>30000</v>
      </c>
      <c r="J115" s="351" t="n">
        <v>30000</v>
      </c>
      <c r="K115" s="351" t="n">
        <v>30000</v>
      </c>
      <c r="L115" s="351" t="n">
        <v>30000</v>
      </c>
      <c r="M115" s="351" t="n">
        <v>30000</v>
      </c>
      <c r="N115" s="351" t="n">
        <v>30000</v>
      </c>
      <c r="O115" s="351" t="n">
        <v>30000</v>
      </c>
      <c r="P115" s="351" t="n">
        <v>30000</v>
      </c>
      <c r="Q115" s="351" t="n">
        <v>30000</v>
      </c>
      <c r="R115" s="351" t="n">
        <v>30000</v>
      </c>
      <c r="S115" s="351" t="n">
        <v>30000</v>
      </c>
      <c r="T115" s="351" t="n">
        <v>30000</v>
      </c>
      <c r="U115" s="351" t="n">
        <v>30000</v>
      </c>
      <c r="V115" s="351" t="n">
        <v>30000</v>
      </c>
      <c r="W115" s="351" t="n">
        <v>30000</v>
      </c>
      <c r="X115" s="351" t="n">
        <v>30000</v>
      </c>
      <c r="Y115" s="351" t="n">
        <v>30000</v>
      </c>
      <c r="Z115" s="351" t="n">
        <v>30000</v>
      </c>
      <c r="AA115" s="351" t="n">
        <v>30000</v>
      </c>
      <c r="AB115" s="351" t="n">
        <v>30000</v>
      </c>
      <c r="AC115" s="351" t="n">
        <v>30000</v>
      </c>
      <c r="AD115" s="351" t="n">
        <v>30000</v>
      </c>
      <c r="AE115" s="351" t="n">
        <v>30000</v>
      </c>
      <c r="AF115" s="351" t="n">
        <v>30000</v>
      </c>
      <c r="AG115" s="351" t="n">
        <v>30000</v>
      </c>
      <c r="AH115" s="351" t="n">
        <v>30000</v>
      </c>
      <c r="AI115" s="351" t="n"/>
      <c r="AJ115" s="351" t="n"/>
      <c r="AK115" s="351" t="n"/>
      <c r="AL115" s="351" t="n"/>
      <c r="AM115" s="351" t="n"/>
      <c r="AN115" s="351" t="n"/>
      <c r="AO115" s="351" t="n"/>
      <c r="AP115" s="351" t="n"/>
      <c r="AQ115" s="351" t="n"/>
      <c r="AR115" s="351" t="n"/>
      <c r="AS115" s="351" t="n"/>
      <c r="AT115" s="351" t="n"/>
      <c r="AU115" s="351" t="n"/>
      <c r="AV115" s="351" t="n"/>
      <c r="AW115" s="351" t="n"/>
      <c r="AX115" s="351" t="n"/>
      <c r="AY115" s="351" t="n"/>
      <c r="AZ115" s="351" t="n"/>
      <c r="BA115" s="351" t="n"/>
      <c r="BB115" s="351" t="n"/>
      <c r="BC115" s="351" t="n"/>
      <c r="BD115" s="351" t="n"/>
      <c r="BE115" s="351" t="n"/>
      <c r="BF115" s="351" t="n"/>
      <c r="BG115" s="351" t="n"/>
      <c r="BH115" s="350">
        <f>SUM(E115:BG115)</f>
        <v/>
      </c>
    </row>
    <row r="116" ht="13.9" customHeight="1" s="276">
      <c r="A116" s="48">
        <f>A115+1</f>
        <v/>
      </c>
      <c r="B116" s="254" t="inlineStr">
        <is>
          <t>Diárias</t>
        </is>
      </c>
      <c r="C116" s="257" t="n"/>
      <c r="D116" s="255" t="n"/>
      <c r="E116" s="349" t="n">
        <v>15000</v>
      </c>
      <c r="F116" s="349" t="n">
        <v>15000</v>
      </c>
      <c r="G116" s="349" t="n">
        <v>15000</v>
      </c>
      <c r="H116" s="349" t="n">
        <v>15000</v>
      </c>
      <c r="I116" s="349" t="n">
        <v>15000</v>
      </c>
      <c r="J116" s="349" t="n">
        <v>15000</v>
      </c>
      <c r="K116" s="349" t="n">
        <v>15000</v>
      </c>
      <c r="L116" s="349" t="n">
        <v>15000</v>
      </c>
      <c r="M116" s="349" t="n">
        <v>15000</v>
      </c>
      <c r="N116" s="349" t="n">
        <v>15000</v>
      </c>
      <c r="O116" s="349" t="n">
        <v>15000</v>
      </c>
      <c r="P116" s="349" t="n">
        <v>15000</v>
      </c>
      <c r="Q116" s="349" t="n">
        <v>15000</v>
      </c>
      <c r="R116" s="349" t="n">
        <v>15000</v>
      </c>
      <c r="S116" s="349" t="n">
        <v>15000</v>
      </c>
      <c r="T116" s="349" t="n">
        <v>15000</v>
      </c>
      <c r="U116" s="349" t="n">
        <v>15000</v>
      </c>
      <c r="V116" s="349" t="n">
        <v>15000</v>
      </c>
      <c r="W116" s="349" t="n">
        <v>15000</v>
      </c>
      <c r="X116" s="349" t="n">
        <v>15000</v>
      </c>
      <c r="Y116" s="349" t="n">
        <v>15000</v>
      </c>
      <c r="Z116" s="349" t="n">
        <v>15000</v>
      </c>
      <c r="AA116" s="349" t="n">
        <v>15000</v>
      </c>
      <c r="AB116" s="349" t="n">
        <v>15000</v>
      </c>
      <c r="AC116" s="349" t="n">
        <v>15000</v>
      </c>
      <c r="AD116" s="349" t="n">
        <v>15000</v>
      </c>
      <c r="AE116" s="349" t="n">
        <v>15000</v>
      </c>
      <c r="AF116" s="349" t="n">
        <v>15000</v>
      </c>
      <c r="AG116" s="349" t="n">
        <v>15000</v>
      </c>
      <c r="AH116" s="349" t="n">
        <v>15000</v>
      </c>
      <c r="AI116" s="349" t="n"/>
      <c r="AJ116" s="349" t="n"/>
      <c r="AK116" s="349" t="n"/>
      <c r="AL116" s="349" t="n"/>
      <c r="AM116" s="349" t="n"/>
      <c r="AN116" s="349" t="n"/>
      <c r="AO116" s="349" t="n"/>
      <c r="AP116" s="349" t="n"/>
      <c r="AQ116" s="349" t="n"/>
      <c r="AR116" s="349" t="n"/>
      <c r="AS116" s="349" t="n"/>
      <c r="AT116" s="349" t="n"/>
      <c r="AU116" s="349" t="n"/>
      <c r="AV116" s="349" t="n"/>
      <c r="AW116" s="349" t="n"/>
      <c r="AX116" s="349" t="n"/>
      <c r="AY116" s="349" t="n"/>
      <c r="AZ116" s="349" t="n"/>
      <c r="BA116" s="349" t="n"/>
      <c r="BB116" s="349" t="n"/>
      <c r="BC116" s="349" t="n"/>
      <c r="BD116" s="349" t="n"/>
      <c r="BE116" s="349" t="n"/>
      <c r="BF116" s="349" t="n"/>
      <c r="BG116" s="349" t="n"/>
      <c r="BH116" s="350">
        <f>SUM(E116:BG116)</f>
        <v/>
      </c>
    </row>
    <row r="117" ht="13.9" customHeight="1" s="276">
      <c r="A117" s="48">
        <f>A116+1</f>
        <v/>
      </c>
      <c r="B117" s="254" t="inlineStr">
        <is>
          <t>Material de Consumo</t>
        </is>
      </c>
      <c r="C117" s="257" t="n"/>
      <c r="D117" s="255" t="n"/>
      <c r="E117" s="349" t="n">
        <v>3000</v>
      </c>
      <c r="F117" s="349" t="n">
        <v>3000</v>
      </c>
      <c r="G117" s="349" t="n">
        <v>3000</v>
      </c>
      <c r="H117" s="349" t="n">
        <v>3000</v>
      </c>
      <c r="I117" s="349" t="n">
        <v>3000</v>
      </c>
      <c r="J117" s="349" t="n">
        <v>3000</v>
      </c>
      <c r="K117" s="349" t="n">
        <v>3000</v>
      </c>
      <c r="L117" s="349" t="n">
        <v>3000</v>
      </c>
      <c r="M117" s="349" t="n">
        <v>3000</v>
      </c>
      <c r="N117" s="349" t="n">
        <v>3000</v>
      </c>
      <c r="O117" s="349" t="n">
        <v>3000</v>
      </c>
      <c r="P117" s="349" t="n">
        <v>3000</v>
      </c>
      <c r="Q117" s="349" t="n">
        <v>3000</v>
      </c>
      <c r="R117" s="349" t="n">
        <v>3000</v>
      </c>
      <c r="S117" s="349" t="n">
        <v>3000</v>
      </c>
      <c r="T117" s="349" t="n">
        <v>3000</v>
      </c>
      <c r="U117" s="349" t="n">
        <v>3000</v>
      </c>
      <c r="V117" s="349" t="n">
        <v>3000</v>
      </c>
      <c r="W117" s="349" t="n">
        <v>3000</v>
      </c>
      <c r="X117" s="349" t="n">
        <v>3000</v>
      </c>
      <c r="Y117" s="349" t="n">
        <v>3000</v>
      </c>
      <c r="Z117" s="349" t="n">
        <v>3000</v>
      </c>
      <c r="AA117" s="349" t="n">
        <v>3000</v>
      </c>
      <c r="AB117" s="349" t="n">
        <v>3000</v>
      </c>
      <c r="AC117" s="349" t="n">
        <v>3000</v>
      </c>
      <c r="AD117" s="349" t="n">
        <v>3000</v>
      </c>
      <c r="AE117" s="349" t="n">
        <v>3000</v>
      </c>
      <c r="AF117" s="349" t="n">
        <v>3000</v>
      </c>
      <c r="AG117" s="349" t="n">
        <v>3000</v>
      </c>
      <c r="AH117" s="349" t="n">
        <v>3000</v>
      </c>
      <c r="AI117" s="349" t="n"/>
      <c r="AJ117" s="349" t="n"/>
      <c r="AK117" s="349" t="n"/>
      <c r="AL117" s="349" t="n"/>
      <c r="AM117" s="349" t="n"/>
      <c r="AN117" s="349" t="n"/>
      <c r="AO117" s="349" t="n"/>
      <c r="AP117" s="349" t="n"/>
      <c r="AQ117" s="349" t="n"/>
      <c r="AR117" s="349" t="n"/>
      <c r="AS117" s="349" t="n"/>
      <c r="AT117" s="349" t="n"/>
      <c r="AU117" s="349" t="n"/>
      <c r="AV117" s="349" t="n"/>
      <c r="AW117" s="349" t="n"/>
      <c r="AX117" s="349" t="n"/>
      <c r="AY117" s="349" t="n"/>
      <c r="AZ117" s="349" t="n"/>
      <c r="BA117" s="349" t="n"/>
      <c r="BB117" s="349" t="n"/>
      <c r="BC117" s="349" t="n"/>
      <c r="BD117" s="349" t="n"/>
      <c r="BE117" s="349" t="n"/>
      <c r="BF117" s="349" t="n"/>
      <c r="BG117" s="349" t="n"/>
      <c r="BH117" s="350">
        <f>SUM(E117:BG117)</f>
        <v/>
      </c>
    </row>
    <row r="118" ht="13.9" customHeight="1" s="276">
      <c r="A118" s="282" t="inlineStr">
        <is>
          <t>subtotal</t>
        </is>
      </c>
      <c r="B118" s="257" t="n"/>
      <c r="C118" s="257" t="n"/>
      <c r="D118" s="255" t="n"/>
      <c r="E118" s="353">
        <f>SUM(E4:E117)</f>
        <v/>
      </c>
      <c r="F118" s="353">
        <f>SUM(F4:F117)</f>
        <v/>
      </c>
      <c r="G118" s="353">
        <f>SUM(G4:G117)</f>
        <v/>
      </c>
      <c r="H118" s="353">
        <f>SUM(H4:H117)</f>
        <v/>
      </c>
      <c r="I118" s="353">
        <f>SUM(I4:I117)</f>
        <v/>
      </c>
      <c r="J118" s="353">
        <f>SUM(J4:J117)</f>
        <v/>
      </c>
      <c r="K118" s="353">
        <f>SUM(K4:K117)</f>
        <v/>
      </c>
      <c r="L118" s="353">
        <f>SUM(L4:L117)</f>
        <v/>
      </c>
      <c r="M118" s="353">
        <f>SUM(M4:M117)</f>
        <v/>
      </c>
      <c r="N118" s="353">
        <f>SUM(N4:N117)</f>
        <v/>
      </c>
      <c r="O118" s="353">
        <f>SUM(O4:O117)</f>
        <v/>
      </c>
      <c r="P118" s="353">
        <f>SUM(P4:P117)</f>
        <v/>
      </c>
      <c r="Q118" s="353">
        <f>SUM(Q4:Q117)</f>
        <v/>
      </c>
      <c r="R118" s="353">
        <f>SUM(R4:R117)</f>
        <v/>
      </c>
      <c r="S118" s="353">
        <f>SUM(S4:S117)</f>
        <v/>
      </c>
      <c r="T118" s="353">
        <f>SUM(T4:T117)</f>
        <v/>
      </c>
      <c r="U118" s="353">
        <f>SUM(U4:U117)</f>
        <v/>
      </c>
      <c r="V118" s="353">
        <f>SUM(V4:V117)</f>
        <v/>
      </c>
      <c r="W118" s="353">
        <f>SUM(W4:W117)</f>
        <v/>
      </c>
      <c r="X118" s="353">
        <f>SUM(X4:X117)</f>
        <v/>
      </c>
      <c r="Y118" s="353">
        <f>SUM(Y4:Y117)</f>
        <v/>
      </c>
      <c r="Z118" s="353">
        <f>SUM(Z4:Z117)</f>
        <v/>
      </c>
      <c r="AA118" s="353">
        <f>SUM(AA4:AA117)</f>
        <v/>
      </c>
      <c r="AB118" s="353">
        <f>SUM(AB4:AB117)</f>
        <v/>
      </c>
      <c r="AC118" s="353">
        <f>SUM(AC4:AC117)</f>
        <v/>
      </c>
      <c r="AD118" s="353">
        <f>SUM(AD4:AD117)</f>
        <v/>
      </c>
      <c r="AE118" s="353">
        <f>SUM(AE4:AE117)</f>
        <v/>
      </c>
      <c r="AF118" s="353">
        <f>SUM(AF4:AF117)</f>
        <v/>
      </c>
      <c r="AG118" s="353">
        <f>SUM(AG4:AG117)</f>
        <v/>
      </c>
      <c r="AH118" s="353">
        <f>SUM(AH4:AH117)</f>
        <v/>
      </c>
      <c r="AI118" s="353">
        <f>SUM(AI4:AI117)</f>
        <v/>
      </c>
      <c r="AJ118" s="353">
        <f>SUM(AJ4:AJ117)</f>
        <v/>
      </c>
      <c r="AK118" s="353">
        <f>SUM(AK4:AK117)</f>
        <v/>
      </c>
      <c r="AL118" s="353">
        <f>SUM(AL4:AL117)</f>
        <v/>
      </c>
      <c r="AM118" s="353">
        <f>SUM(AM4:AM117)</f>
        <v/>
      </c>
      <c r="AN118" s="353">
        <f>SUM(AN4:AN117)</f>
        <v/>
      </c>
      <c r="AO118" s="353">
        <f>SUM(AO4:AO117)</f>
        <v/>
      </c>
      <c r="AP118" s="353">
        <f>SUM(AP4:AP117)</f>
        <v/>
      </c>
      <c r="AQ118" s="353">
        <f>SUM(AQ4:AQ117)</f>
        <v/>
      </c>
      <c r="AR118" s="353">
        <f>SUM(AR4:AR117)</f>
        <v/>
      </c>
      <c r="AS118" s="353">
        <f>SUM(AS4:AS117)</f>
        <v/>
      </c>
      <c r="AT118" s="353">
        <f>SUM(AT4:AT117)</f>
        <v/>
      </c>
      <c r="AU118" s="353">
        <f>SUM(AU4:AU117)</f>
        <v/>
      </c>
      <c r="AV118" s="353">
        <f>SUM(AV4:AV117)</f>
        <v/>
      </c>
      <c r="AW118" s="353">
        <f>SUM(AW4:AW117)</f>
        <v/>
      </c>
      <c r="AX118" s="353">
        <f>SUM(AX4:AX117)</f>
        <v/>
      </c>
      <c r="AY118" s="353">
        <f>SUM(AY4:AY117)</f>
        <v/>
      </c>
      <c r="AZ118" s="353">
        <f>SUM(AZ4:AZ117)</f>
        <v/>
      </c>
      <c r="BA118" s="353">
        <f>SUM(BA4:BA117)</f>
        <v/>
      </c>
      <c r="BB118" s="353">
        <f>SUM(BB4:BB117)</f>
        <v/>
      </c>
      <c r="BC118" s="353">
        <f>SUM(BC4:BC117)</f>
        <v/>
      </c>
      <c r="BD118" s="353">
        <f>SUM(BD4:BD117)</f>
        <v/>
      </c>
      <c r="BE118" s="353">
        <f>SUM(BE4:BE117)</f>
        <v/>
      </c>
      <c r="BF118" s="353">
        <f>SUM(BF4:BF117)</f>
        <v/>
      </c>
      <c r="BG118" s="353">
        <f>SUM(BG4:BG117)</f>
        <v/>
      </c>
      <c r="BH118" s="353">
        <f>SUM(BH4:BH117)</f>
        <v/>
      </c>
    </row>
    <row r="119" ht="13.9" customHeight="1" s="276">
      <c r="A119" s="55">
        <f>A117+1</f>
        <v/>
      </c>
      <c r="B119" s="280" t="inlineStr">
        <is>
          <t>FAPEU</t>
        </is>
      </c>
      <c r="C119" s="255" t="n"/>
      <c r="D119" s="56" t="n">
        <v>0.0755</v>
      </c>
      <c r="E119" s="351">
        <f>E2*$D$119</f>
        <v/>
      </c>
      <c r="F119" s="351">
        <f>F2*$D$119</f>
        <v/>
      </c>
      <c r="G119" s="351">
        <f>G2*$D$119</f>
        <v/>
      </c>
      <c r="H119" s="351">
        <f>H2*$D$119</f>
        <v/>
      </c>
      <c r="I119" s="351">
        <f>I2*$D$119</f>
        <v/>
      </c>
      <c r="J119" s="351">
        <f>J2*$D$119</f>
        <v/>
      </c>
      <c r="K119" s="351">
        <f>K2*$D$119</f>
        <v/>
      </c>
      <c r="L119" s="351">
        <f>L2*$D$119</f>
        <v/>
      </c>
      <c r="M119" s="351">
        <f>M2*$D$119</f>
        <v/>
      </c>
      <c r="N119" s="351">
        <f>N2*$D$119</f>
        <v/>
      </c>
      <c r="O119" s="351">
        <f>O2*$D$119</f>
        <v/>
      </c>
      <c r="P119" s="351">
        <f>P2*$D$119</f>
        <v/>
      </c>
      <c r="Q119" s="351">
        <f>Q2*$D$119</f>
        <v/>
      </c>
      <c r="R119" s="351">
        <f>R2*$D$119</f>
        <v/>
      </c>
      <c r="S119" s="351">
        <f>S2*$D$119</f>
        <v/>
      </c>
      <c r="T119" s="351">
        <f>T2*$D$119</f>
        <v/>
      </c>
      <c r="U119" s="351">
        <f>U2*$D$119</f>
        <v/>
      </c>
      <c r="V119" s="351">
        <f>V2*$D$119</f>
        <v/>
      </c>
      <c r="W119" s="351">
        <f>W2*$D$119</f>
        <v/>
      </c>
      <c r="X119" s="351">
        <f>X2*$D$119</f>
        <v/>
      </c>
      <c r="Y119" s="351">
        <f>Y2*$D$119</f>
        <v/>
      </c>
      <c r="Z119" s="351">
        <f>Z2*$D$119</f>
        <v/>
      </c>
      <c r="AA119" s="351">
        <f>AA2*$D$119</f>
        <v/>
      </c>
      <c r="AB119" s="351">
        <f>AB2*$D$119</f>
        <v/>
      </c>
      <c r="AC119" s="351">
        <f>AC2*$D$119</f>
        <v/>
      </c>
      <c r="AD119" s="351">
        <f>AD2*$D$119</f>
        <v/>
      </c>
      <c r="AE119" s="351">
        <f>AE2*$D$119</f>
        <v/>
      </c>
      <c r="AF119" s="351">
        <f>AF2*$D$119</f>
        <v/>
      </c>
      <c r="AG119" s="351">
        <f>AG2*$D$119</f>
        <v/>
      </c>
      <c r="AH119" s="351">
        <f>AH2*$D$119</f>
        <v/>
      </c>
      <c r="AI119" s="351">
        <f>AI2*$D$119</f>
        <v/>
      </c>
      <c r="AJ119" s="351">
        <f>AJ2*$D$119</f>
        <v/>
      </c>
      <c r="AK119" s="351">
        <f>AK2*$D$119</f>
        <v/>
      </c>
      <c r="AL119" s="351">
        <f>AL2*$D$119</f>
        <v/>
      </c>
      <c r="AM119" s="351">
        <f>AM2*$D$119</f>
        <v/>
      </c>
      <c r="AN119" s="351">
        <f>AN2*$D$119</f>
        <v/>
      </c>
      <c r="AO119" s="351">
        <f>AO2*$D$119</f>
        <v/>
      </c>
      <c r="AP119" s="351">
        <f>AP2*$D$119</f>
        <v/>
      </c>
      <c r="AQ119" s="351">
        <f>AQ2*$D$119</f>
        <v/>
      </c>
      <c r="AR119" s="351">
        <f>AR2*$D$119</f>
        <v/>
      </c>
      <c r="AS119" s="351">
        <f>AS2*$D$119</f>
        <v/>
      </c>
      <c r="AT119" s="351">
        <f>AT2*$D$119</f>
        <v/>
      </c>
      <c r="AU119" s="351">
        <f>AU2*$D$119</f>
        <v/>
      </c>
      <c r="AV119" s="351">
        <f>AV2*$D$119</f>
        <v/>
      </c>
      <c r="AW119" s="351">
        <f>AW2*$D$119</f>
        <v/>
      </c>
      <c r="AX119" s="351">
        <f>AX2*$D$119</f>
        <v/>
      </c>
      <c r="AY119" s="351">
        <f>AY2*$D$119</f>
        <v/>
      </c>
      <c r="AZ119" s="351">
        <f>AZ2*$D$119</f>
        <v/>
      </c>
      <c r="BA119" s="351">
        <f>BA2*$D$119</f>
        <v/>
      </c>
      <c r="BB119" s="351">
        <f>BB2*$D$119</f>
        <v/>
      </c>
      <c r="BC119" s="351">
        <f>BC2*$D$119</f>
        <v/>
      </c>
      <c r="BD119" s="351">
        <f>BD2*$D$119</f>
        <v/>
      </c>
      <c r="BE119" s="351">
        <f>BE2*$D$119</f>
        <v/>
      </c>
      <c r="BF119" s="351">
        <f>BF2*$D$119</f>
        <v/>
      </c>
      <c r="BG119" s="351">
        <f>BG2*$D$119</f>
        <v/>
      </c>
      <c r="BH119" s="354">
        <f>SUM(E119:BG119)</f>
        <v/>
      </c>
    </row>
    <row r="120" ht="13.9" customHeight="1" s="276">
      <c r="A120" s="55">
        <f>A119+1</f>
        <v/>
      </c>
      <c r="B120" s="280" t="inlineStr">
        <is>
          <t>Centro Tecnológico</t>
        </is>
      </c>
      <c r="C120" s="255" t="n"/>
      <c r="D120" s="56" t="n">
        <v>0.01</v>
      </c>
      <c r="E120" s="351">
        <f>E2*$D$120</f>
        <v/>
      </c>
      <c r="F120" s="351">
        <f>F2*$D$120</f>
        <v/>
      </c>
      <c r="G120" s="351">
        <f>G2*$D$120</f>
        <v/>
      </c>
      <c r="H120" s="351">
        <f>H2*$D$120</f>
        <v/>
      </c>
      <c r="I120" s="351">
        <f>I2*$D$120</f>
        <v/>
      </c>
      <c r="J120" s="351">
        <f>J2*$D$120</f>
        <v/>
      </c>
      <c r="K120" s="351">
        <f>K2*$D$120</f>
        <v/>
      </c>
      <c r="L120" s="351">
        <f>L2*$D$120</f>
        <v/>
      </c>
      <c r="M120" s="351">
        <f>M2*$D$120</f>
        <v/>
      </c>
      <c r="N120" s="351">
        <f>N2*$D$120</f>
        <v/>
      </c>
      <c r="O120" s="351">
        <f>O2*$D$120</f>
        <v/>
      </c>
      <c r="P120" s="351">
        <f>P2*$D$120</f>
        <v/>
      </c>
      <c r="Q120" s="351">
        <f>Q2*$D$120</f>
        <v/>
      </c>
      <c r="R120" s="351">
        <f>R2*$D$120</f>
        <v/>
      </c>
      <c r="S120" s="351">
        <f>S2*$D$120</f>
        <v/>
      </c>
      <c r="T120" s="351">
        <f>T2*$D$120</f>
        <v/>
      </c>
      <c r="U120" s="351">
        <f>U2*$D$120</f>
        <v/>
      </c>
      <c r="V120" s="351">
        <f>V2*$D$120</f>
        <v/>
      </c>
      <c r="W120" s="351">
        <f>W2*$D$120</f>
        <v/>
      </c>
      <c r="X120" s="351">
        <f>X2*$D$120</f>
        <v/>
      </c>
      <c r="Y120" s="351">
        <f>Y2*$D$120</f>
        <v/>
      </c>
      <c r="Z120" s="351">
        <f>Z2*$D$120</f>
        <v/>
      </c>
      <c r="AA120" s="351">
        <f>AA2*$D$120</f>
        <v/>
      </c>
      <c r="AB120" s="351">
        <f>AB2*$D$120</f>
        <v/>
      </c>
      <c r="AC120" s="351">
        <f>AC2*$D$120</f>
        <v/>
      </c>
      <c r="AD120" s="351">
        <f>AD2*$D$120</f>
        <v/>
      </c>
      <c r="AE120" s="351">
        <f>AE2*$D$120</f>
        <v/>
      </c>
      <c r="AF120" s="351">
        <f>AF2*$D$120</f>
        <v/>
      </c>
      <c r="AG120" s="351">
        <f>AG2*$D$120</f>
        <v/>
      </c>
      <c r="AH120" s="351">
        <f>AH2*$D$120</f>
        <v/>
      </c>
      <c r="AI120" s="351">
        <f>AI2*$D$120</f>
        <v/>
      </c>
      <c r="AJ120" s="351">
        <f>AJ2*$D$120</f>
        <v/>
      </c>
      <c r="AK120" s="351">
        <f>AK2*$D$120</f>
        <v/>
      </c>
      <c r="AL120" s="351">
        <f>AL2*$D$120</f>
        <v/>
      </c>
      <c r="AM120" s="351">
        <f>AM2*$D$120</f>
        <v/>
      </c>
      <c r="AN120" s="351">
        <f>AN2*$D$120</f>
        <v/>
      </c>
      <c r="AO120" s="351">
        <f>AO2*$D$120</f>
        <v/>
      </c>
      <c r="AP120" s="351">
        <f>AP2*$D$120</f>
        <v/>
      </c>
      <c r="AQ120" s="351">
        <f>AQ2*$D$120</f>
        <v/>
      </c>
      <c r="AR120" s="351">
        <f>AR2*$D$120</f>
        <v/>
      </c>
      <c r="AS120" s="351">
        <f>AS2*$D$120</f>
        <v/>
      </c>
      <c r="AT120" s="351">
        <f>AT2*$D$120</f>
        <v/>
      </c>
      <c r="AU120" s="351">
        <f>AU2*$D$120</f>
        <v/>
      </c>
      <c r="AV120" s="351">
        <f>AV2*$D$120</f>
        <v/>
      </c>
      <c r="AW120" s="351">
        <f>AW2*$D$120</f>
        <v/>
      </c>
      <c r="AX120" s="351">
        <f>AX2*$D$120</f>
        <v/>
      </c>
      <c r="AY120" s="351">
        <f>AY2*$D$120</f>
        <v/>
      </c>
      <c r="AZ120" s="351">
        <f>AZ2*$D$120</f>
        <v/>
      </c>
      <c r="BA120" s="351">
        <f>BA2*$D$120</f>
        <v/>
      </c>
      <c r="BB120" s="351">
        <f>BB2*$D$120</f>
        <v/>
      </c>
      <c r="BC120" s="351">
        <f>BC2*$D$120</f>
        <v/>
      </c>
      <c r="BD120" s="351">
        <f>BD2*$D$120</f>
        <v/>
      </c>
      <c r="BE120" s="351">
        <f>BE2*$D$120</f>
        <v/>
      </c>
      <c r="BF120" s="351">
        <f>BF2*$D$120</f>
        <v/>
      </c>
      <c r="BG120" s="351">
        <f>BG2*$D$120</f>
        <v/>
      </c>
      <c r="BH120" s="354">
        <f>SUM(E120:BG120)</f>
        <v/>
      </c>
    </row>
    <row r="121" ht="13.9" customHeight="1" s="276">
      <c r="A121" s="55">
        <f>A120+1</f>
        <v/>
      </c>
      <c r="B121" s="280" t="inlineStr">
        <is>
          <t>E.C.V.</t>
        </is>
      </c>
      <c r="C121" s="255" t="n"/>
      <c r="D121" s="56" t="n">
        <v>0.02</v>
      </c>
      <c r="E121" s="351">
        <f>E2*$D$121</f>
        <v/>
      </c>
      <c r="F121" s="351">
        <f>F2*$D$121</f>
        <v/>
      </c>
      <c r="G121" s="351">
        <f>G2*$D$121</f>
        <v/>
      </c>
      <c r="H121" s="351">
        <f>H2*$D$121</f>
        <v/>
      </c>
      <c r="I121" s="351">
        <f>I2*$D$121</f>
        <v/>
      </c>
      <c r="J121" s="351">
        <f>J2*$D$121</f>
        <v/>
      </c>
      <c r="K121" s="351">
        <f>K2*$D$121</f>
        <v/>
      </c>
      <c r="L121" s="351">
        <f>L2*$D$121</f>
        <v/>
      </c>
      <c r="M121" s="351">
        <f>M2*$D$121</f>
        <v/>
      </c>
      <c r="N121" s="351">
        <f>N2*$D$121</f>
        <v/>
      </c>
      <c r="O121" s="351">
        <f>O2*$D$121</f>
        <v/>
      </c>
      <c r="P121" s="351">
        <f>P2*$D$121</f>
        <v/>
      </c>
      <c r="Q121" s="351">
        <f>Q2*$D$121</f>
        <v/>
      </c>
      <c r="R121" s="351">
        <f>R2*$D$121</f>
        <v/>
      </c>
      <c r="S121" s="351">
        <f>S2*$D$121</f>
        <v/>
      </c>
      <c r="T121" s="351">
        <f>T2*$D$121</f>
        <v/>
      </c>
      <c r="U121" s="351">
        <f>U2*$D$121</f>
        <v/>
      </c>
      <c r="V121" s="351">
        <f>V2*$D$121</f>
        <v/>
      </c>
      <c r="W121" s="351">
        <f>W2*$D$121</f>
        <v/>
      </c>
      <c r="X121" s="351">
        <f>X2*$D$121</f>
        <v/>
      </c>
      <c r="Y121" s="351">
        <f>Y2*$D$121</f>
        <v/>
      </c>
      <c r="Z121" s="351">
        <f>Z2*$D$121</f>
        <v/>
      </c>
      <c r="AA121" s="351">
        <f>AA2*$D$121</f>
        <v/>
      </c>
      <c r="AB121" s="351">
        <f>AB2*$D$121</f>
        <v/>
      </c>
      <c r="AC121" s="351">
        <f>AC2*$D$121</f>
        <v/>
      </c>
      <c r="AD121" s="351">
        <f>AD2*$D$121</f>
        <v/>
      </c>
      <c r="AE121" s="351">
        <f>AE2*$D$121</f>
        <v/>
      </c>
      <c r="AF121" s="351">
        <f>AF2*$D$121</f>
        <v/>
      </c>
      <c r="AG121" s="351">
        <f>AG2*$D$121</f>
        <v/>
      </c>
      <c r="AH121" s="351">
        <f>AH2*$D$121</f>
        <v/>
      </c>
      <c r="AI121" s="351">
        <f>AI2*$D$121</f>
        <v/>
      </c>
      <c r="AJ121" s="351">
        <f>AJ2*$D$121</f>
        <v/>
      </c>
      <c r="AK121" s="351">
        <f>AK2*$D$121</f>
        <v/>
      </c>
      <c r="AL121" s="351">
        <f>AL2*$D$121</f>
        <v/>
      </c>
      <c r="AM121" s="351">
        <f>AM2*$D$121</f>
        <v/>
      </c>
      <c r="AN121" s="351">
        <f>AN2*$D$121</f>
        <v/>
      </c>
      <c r="AO121" s="351">
        <f>AO2*$D$121</f>
        <v/>
      </c>
      <c r="AP121" s="351">
        <f>AP2*$D$121</f>
        <v/>
      </c>
      <c r="AQ121" s="351">
        <f>AQ2*$D$121</f>
        <v/>
      </c>
      <c r="AR121" s="351">
        <f>AR2*$D$121</f>
        <v/>
      </c>
      <c r="AS121" s="351">
        <f>AS2*$D$121</f>
        <v/>
      </c>
      <c r="AT121" s="351">
        <f>AT2*$D$121</f>
        <v/>
      </c>
      <c r="AU121" s="351">
        <f>AU2*$D$121</f>
        <v/>
      </c>
      <c r="AV121" s="351">
        <f>AV2*$D$121</f>
        <v/>
      </c>
      <c r="AW121" s="351">
        <f>AW2*$D$121</f>
        <v/>
      </c>
      <c r="AX121" s="351">
        <f>AX2*$D$121</f>
        <v/>
      </c>
      <c r="AY121" s="351">
        <f>AY2*$D$121</f>
        <v/>
      </c>
      <c r="AZ121" s="351">
        <f>AZ2*$D$121</f>
        <v/>
      </c>
      <c r="BA121" s="351">
        <f>BA2*$D$121</f>
        <v/>
      </c>
      <c r="BB121" s="351">
        <f>BB2*$D$121</f>
        <v/>
      </c>
      <c r="BC121" s="351">
        <f>BC2*$D$121</f>
        <v/>
      </c>
      <c r="BD121" s="351">
        <f>BD2*$D$121</f>
        <v/>
      </c>
      <c r="BE121" s="351">
        <f>BE2*$D$121</f>
        <v/>
      </c>
      <c r="BF121" s="351">
        <f>BF2*$D$121</f>
        <v/>
      </c>
      <c r="BG121" s="351">
        <f>BG2*$D$121</f>
        <v/>
      </c>
      <c r="BH121" s="354">
        <f>SUM(E121:BG121)</f>
        <v/>
      </c>
    </row>
    <row r="122" ht="13.9" customHeight="1" s="276">
      <c r="A122" s="55">
        <f>A121+1</f>
        <v/>
      </c>
      <c r="B122" s="280" t="inlineStr">
        <is>
          <t>UFSC</t>
        </is>
      </c>
      <c r="C122" s="255" t="n"/>
      <c r="D122" s="56" t="n">
        <v>0.04</v>
      </c>
      <c r="E122" s="351">
        <f>E2*$D$122</f>
        <v/>
      </c>
      <c r="F122" s="351">
        <f>F2*$D$122</f>
        <v/>
      </c>
      <c r="G122" s="351">
        <f>G2*$D$122</f>
        <v/>
      </c>
      <c r="H122" s="351">
        <f>H2*$D$122</f>
        <v/>
      </c>
      <c r="I122" s="351">
        <f>I2*$D$122</f>
        <v/>
      </c>
      <c r="J122" s="351">
        <f>J2*$D$122</f>
        <v/>
      </c>
      <c r="K122" s="351">
        <f>K2*$D$122</f>
        <v/>
      </c>
      <c r="L122" s="351">
        <f>L2*$D$122</f>
        <v/>
      </c>
      <c r="M122" s="351">
        <f>M2*$D$122</f>
        <v/>
      </c>
      <c r="N122" s="351">
        <f>N2*$D$122</f>
        <v/>
      </c>
      <c r="O122" s="351">
        <f>O2*$D$122</f>
        <v/>
      </c>
      <c r="P122" s="351">
        <f>P2*$D$122</f>
        <v/>
      </c>
      <c r="Q122" s="351">
        <f>Q2*$D$122</f>
        <v/>
      </c>
      <c r="R122" s="351">
        <f>R2*$D$122</f>
        <v/>
      </c>
      <c r="S122" s="351">
        <f>S2*$D$122</f>
        <v/>
      </c>
      <c r="T122" s="351">
        <f>T2*$D$122</f>
        <v/>
      </c>
      <c r="U122" s="351">
        <f>U2*$D$122</f>
        <v/>
      </c>
      <c r="V122" s="351">
        <f>V2*$D$122</f>
        <v/>
      </c>
      <c r="W122" s="351">
        <f>W2*$D$122</f>
        <v/>
      </c>
      <c r="X122" s="351">
        <f>X2*$D$122</f>
        <v/>
      </c>
      <c r="Y122" s="351">
        <f>Y2*$D$122</f>
        <v/>
      </c>
      <c r="Z122" s="351">
        <f>Z2*$D$122</f>
        <v/>
      </c>
      <c r="AA122" s="351">
        <f>AA2*$D$122</f>
        <v/>
      </c>
      <c r="AB122" s="351">
        <f>AB2*$D$122</f>
        <v/>
      </c>
      <c r="AC122" s="351">
        <f>AC2*$D$122</f>
        <v/>
      </c>
      <c r="AD122" s="351">
        <f>AD2*$D$122</f>
        <v/>
      </c>
      <c r="AE122" s="351">
        <f>AE2*$D$122</f>
        <v/>
      </c>
      <c r="AF122" s="351">
        <f>AF2*$D$122</f>
        <v/>
      </c>
      <c r="AG122" s="351">
        <f>AG2*$D$122</f>
        <v/>
      </c>
      <c r="AH122" s="351">
        <f>AH2*$D$122</f>
        <v/>
      </c>
      <c r="AI122" s="351">
        <f>AI2*$D$122</f>
        <v/>
      </c>
      <c r="AJ122" s="351">
        <f>AJ2*$D$122</f>
        <v/>
      </c>
      <c r="AK122" s="351">
        <f>AK2*$D$122</f>
        <v/>
      </c>
      <c r="AL122" s="351">
        <f>AL2*$D$122</f>
        <v/>
      </c>
      <c r="AM122" s="351">
        <f>AM2*$D$122</f>
        <v/>
      </c>
      <c r="AN122" s="351">
        <f>AN2*$D$122</f>
        <v/>
      </c>
      <c r="AO122" s="351">
        <f>AO2*$D$122</f>
        <v/>
      </c>
      <c r="AP122" s="351">
        <f>AP2*$D$122</f>
        <v/>
      </c>
      <c r="AQ122" s="351">
        <f>AQ2*$D$122</f>
        <v/>
      </c>
      <c r="AR122" s="351">
        <f>AR2*$D$122</f>
        <v/>
      </c>
      <c r="AS122" s="351">
        <f>AS2*$D$122</f>
        <v/>
      </c>
      <c r="AT122" s="351">
        <f>AT2*$D$122</f>
        <v/>
      </c>
      <c r="AU122" s="351">
        <f>AU2*$D$122</f>
        <v/>
      </c>
      <c r="AV122" s="351">
        <f>AV2*$D$122</f>
        <v/>
      </c>
      <c r="AW122" s="351">
        <f>AW2*$D$122</f>
        <v/>
      </c>
      <c r="AX122" s="351">
        <f>AX2*$D$122</f>
        <v/>
      </c>
      <c r="AY122" s="351">
        <f>AY2*$D$122</f>
        <v/>
      </c>
      <c r="AZ122" s="351">
        <f>AZ2*$D$122</f>
        <v/>
      </c>
      <c r="BA122" s="351">
        <f>BA2*$D$122</f>
        <v/>
      </c>
      <c r="BB122" s="351">
        <f>BB2*$D$122</f>
        <v/>
      </c>
      <c r="BC122" s="351">
        <f>BC2*$D$122</f>
        <v/>
      </c>
      <c r="BD122" s="351">
        <f>BD2*$D$122</f>
        <v/>
      </c>
      <c r="BE122" s="351">
        <f>BE2*$D$122</f>
        <v/>
      </c>
      <c r="BF122" s="351">
        <f>BF2*$D$122</f>
        <v/>
      </c>
      <c r="BG122" s="351">
        <f>BG2*$D$122</f>
        <v/>
      </c>
      <c r="BH122" s="354">
        <f>SUM(E122:BG122)</f>
        <v/>
      </c>
    </row>
    <row r="123" ht="13.9" customHeight="1" s="276">
      <c r="A123" s="282" t="inlineStr">
        <is>
          <t>subtotal2</t>
        </is>
      </c>
      <c r="B123" s="257" t="n"/>
      <c r="C123" s="257" t="n"/>
      <c r="D123" s="255" t="n"/>
      <c r="E123" s="353">
        <f>SUM(E119:E122)</f>
        <v/>
      </c>
      <c r="F123" s="353">
        <f>SUM(F119:F122)</f>
        <v/>
      </c>
      <c r="G123" s="353">
        <f>SUM(G119:G122)</f>
        <v/>
      </c>
      <c r="H123" s="353">
        <f>SUM(H119:H122)</f>
        <v/>
      </c>
      <c r="I123" s="353">
        <f>SUM(I119:I122)</f>
        <v/>
      </c>
      <c r="J123" s="353">
        <f>SUM(J119:J122)</f>
        <v/>
      </c>
      <c r="K123" s="353">
        <f>SUM(K119:K122)</f>
        <v/>
      </c>
      <c r="L123" s="353">
        <f>SUM(L119:L122)</f>
        <v/>
      </c>
      <c r="M123" s="353">
        <f>SUM(M119:M122)</f>
        <v/>
      </c>
      <c r="N123" s="353">
        <f>SUM(N119:N122)</f>
        <v/>
      </c>
      <c r="O123" s="353">
        <f>SUM(O119:O122)</f>
        <v/>
      </c>
      <c r="P123" s="353">
        <f>SUM(P119:P122)</f>
        <v/>
      </c>
      <c r="Q123" s="353">
        <f>SUM(Q119:Q122)</f>
        <v/>
      </c>
      <c r="R123" s="353">
        <f>SUM(R119:R122)</f>
        <v/>
      </c>
      <c r="S123" s="353">
        <f>SUM(S119:S122)</f>
        <v/>
      </c>
      <c r="T123" s="353">
        <f>SUM(T119:T122)</f>
        <v/>
      </c>
      <c r="U123" s="353">
        <f>SUM(U119:U122)</f>
        <v/>
      </c>
      <c r="V123" s="353">
        <f>SUM(V119:V122)</f>
        <v/>
      </c>
      <c r="W123" s="353">
        <f>SUM(W119:W122)</f>
        <v/>
      </c>
      <c r="X123" s="353">
        <f>SUM(X119:X122)</f>
        <v/>
      </c>
      <c r="Y123" s="353">
        <f>SUM(Y119:Y122)</f>
        <v/>
      </c>
      <c r="Z123" s="353">
        <f>SUM(Z119:Z122)</f>
        <v/>
      </c>
      <c r="AA123" s="353">
        <f>SUM(AA119:AA122)</f>
        <v/>
      </c>
      <c r="AB123" s="353">
        <f>SUM(AB119:AB122)</f>
        <v/>
      </c>
      <c r="AC123" s="353">
        <f>SUM(AC119:AC122)</f>
        <v/>
      </c>
      <c r="AD123" s="353">
        <f>SUM(AD119:AD122)</f>
        <v/>
      </c>
      <c r="AE123" s="353">
        <f>SUM(AE119:AE122)</f>
        <v/>
      </c>
      <c r="AF123" s="353">
        <f>SUM(AF119:AF122)</f>
        <v/>
      </c>
      <c r="AG123" s="353">
        <f>SUM(AG119:AG122)</f>
        <v/>
      </c>
      <c r="AH123" s="353">
        <f>SUM(AH119:AH122)</f>
        <v/>
      </c>
      <c r="AI123" s="353">
        <f>SUM(AI119:AI122)</f>
        <v/>
      </c>
      <c r="AJ123" s="353">
        <f>SUM(AJ119:AJ122)</f>
        <v/>
      </c>
      <c r="AK123" s="353">
        <f>SUM(AK119:AK122)</f>
        <v/>
      </c>
      <c r="AL123" s="353">
        <f>SUM(AL119:AL122)</f>
        <v/>
      </c>
      <c r="AM123" s="353">
        <f>SUM(AM119:AM122)</f>
        <v/>
      </c>
      <c r="AN123" s="353">
        <f>SUM(AN119:AN122)</f>
        <v/>
      </c>
      <c r="AO123" s="353">
        <f>SUM(AO119:AO122)</f>
        <v/>
      </c>
      <c r="AP123" s="353">
        <f>SUM(AP119:AP122)</f>
        <v/>
      </c>
      <c r="AQ123" s="353">
        <f>SUM(AQ119:AQ122)</f>
        <v/>
      </c>
      <c r="AR123" s="353">
        <f>SUM(AR119:AR122)</f>
        <v/>
      </c>
      <c r="AS123" s="353">
        <f>SUM(AS119:AS122)</f>
        <v/>
      </c>
      <c r="AT123" s="353">
        <f>SUM(AT119:AT122)</f>
        <v/>
      </c>
      <c r="AU123" s="353">
        <f>SUM(AU119:AU122)</f>
        <v/>
      </c>
      <c r="AV123" s="353">
        <f>SUM(AV119:AV122)</f>
        <v/>
      </c>
      <c r="AW123" s="353">
        <f>SUM(AW119:AW122)</f>
        <v/>
      </c>
      <c r="AX123" s="353">
        <f>SUM(AX119:AX122)</f>
        <v/>
      </c>
      <c r="AY123" s="353">
        <f>SUM(AY119:AY122)</f>
        <v/>
      </c>
      <c r="AZ123" s="353">
        <f>SUM(AZ119:AZ122)</f>
        <v/>
      </c>
      <c r="BA123" s="353">
        <f>SUM(BA119:BA122)</f>
        <v/>
      </c>
      <c r="BB123" s="353">
        <f>SUM(BB119:BB122)</f>
        <v/>
      </c>
      <c r="BC123" s="353">
        <f>SUM(BC119:BC122)</f>
        <v/>
      </c>
      <c r="BD123" s="353">
        <f>SUM(BD119:BD122)</f>
        <v/>
      </c>
      <c r="BE123" s="353">
        <f>SUM(BE119:BE122)</f>
        <v/>
      </c>
      <c r="BF123" s="353">
        <f>SUM(BF119:BF122)</f>
        <v/>
      </c>
      <c r="BG123" s="353">
        <f>SUM(BG119:BG122)</f>
        <v/>
      </c>
      <c r="BH123" s="353">
        <f>SUM(BH119:BH122)</f>
        <v/>
      </c>
    </row>
    <row r="124" ht="13.9" customHeight="1" s="276">
      <c r="A124" s="285" t="inlineStr">
        <is>
          <t>Total Despesas</t>
        </is>
      </c>
      <c r="B124" s="257" t="n"/>
      <c r="C124" s="257" t="n"/>
      <c r="D124" s="255" t="n"/>
      <c r="E124" s="355">
        <f>E123+E118</f>
        <v/>
      </c>
      <c r="F124" s="355">
        <f>F123+F118</f>
        <v/>
      </c>
      <c r="G124" s="355">
        <f>G123+G118</f>
        <v/>
      </c>
      <c r="H124" s="355">
        <f>H123+H118</f>
        <v/>
      </c>
      <c r="I124" s="355">
        <f>I123+I118</f>
        <v/>
      </c>
      <c r="J124" s="355">
        <f>J123+J118</f>
        <v/>
      </c>
      <c r="K124" s="355">
        <f>K123+K118</f>
        <v/>
      </c>
      <c r="L124" s="355">
        <f>L123+L118</f>
        <v/>
      </c>
      <c r="M124" s="355">
        <f>M123+M118</f>
        <v/>
      </c>
      <c r="N124" s="355">
        <f>N123+N118</f>
        <v/>
      </c>
      <c r="O124" s="355">
        <f>O123+O118</f>
        <v/>
      </c>
      <c r="P124" s="355">
        <f>P123+P118</f>
        <v/>
      </c>
      <c r="Q124" s="355">
        <f>Q123+Q118</f>
        <v/>
      </c>
      <c r="R124" s="355">
        <f>R123+R118</f>
        <v/>
      </c>
      <c r="S124" s="355">
        <f>S123+S118</f>
        <v/>
      </c>
      <c r="T124" s="355">
        <f>T123+T118</f>
        <v/>
      </c>
      <c r="U124" s="355">
        <f>U123+U118</f>
        <v/>
      </c>
      <c r="V124" s="355">
        <f>V123+V118</f>
        <v/>
      </c>
      <c r="W124" s="355">
        <f>W123+W118</f>
        <v/>
      </c>
      <c r="X124" s="355">
        <f>X123+X118</f>
        <v/>
      </c>
      <c r="Y124" s="355">
        <f>Y123+Y118</f>
        <v/>
      </c>
      <c r="Z124" s="355">
        <f>Z123+Z118</f>
        <v/>
      </c>
      <c r="AA124" s="355">
        <f>AA123+AA118</f>
        <v/>
      </c>
      <c r="AB124" s="355">
        <f>AB123+AB118</f>
        <v/>
      </c>
      <c r="AC124" s="355">
        <f>AC123+AC118</f>
        <v/>
      </c>
      <c r="AD124" s="355">
        <f>AD123+AD118</f>
        <v/>
      </c>
      <c r="AE124" s="355">
        <f>AE123+AE118</f>
        <v/>
      </c>
      <c r="AF124" s="355">
        <f>AF123+AF118</f>
        <v/>
      </c>
      <c r="AG124" s="355">
        <f>AG123+AG118</f>
        <v/>
      </c>
      <c r="AH124" s="355">
        <f>AH123+AH118</f>
        <v/>
      </c>
      <c r="AI124" s="355">
        <f>AI123+AI118</f>
        <v/>
      </c>
      <c r="AJ124" s="355">
        <f>AJ123+AJ118</f>
        <v/>
      </c>
      <c r="AK124" s="355">
        <f>AK123+AK118</f>
        <v/>
      </c>
      <c r="AL124" s="355">
        <f>AL123+AL118</f>
        <v/>
      </c>
      <c r="AM124" s="355">
        <f>AM123+AM118</f>
        <v/>
      </c>
      <c r="AN124" s="355">
        <f>AN123+AN118</f>
        <v/>
      </c>
      <c r="AO124" s="355">
        <f>AO123+AO118</f>
        <v/>
      </c>
      <c r="AP124" s="355">
        <f>AP123+AP118</f>
        <v/>
      </c>
      <c r="AQ124" s="355">
        <f>AQ123+AQ118</f>
        <v/>
      </c>
      <c r="AR124" s="355">
        <f>AR123+AR118</f>
        <v/>
      </c>
      <c r="AS124" s="355">
        <f>AS123+AS118</f>
        <v/>
      </c>
      <c r="AT124" s="355">
        <f>AT123+AT118</f>
        <v/>
      </c>
      <c r="AU124" s="355">
        <f>AU123+AU118</f>
        <v/>
      </c>
      <c r="AV124" s="355">
        <f>AV123+AV118</f>
        <v/>
      </c>
      <c r="AW124" s="355">
        <f>AW123+AW118</f>
        <v/>
      </c>
      <c r="AX124" s="355">
        <f>AX123+AX118</f>
        <v/>
      </c>
      <c r="AY124" s="355">
        <f>AY123+AY118</f>
        <v/>
      </c>
      <c r="AZ124" s="355">
        <f>AZ123+AZ118</f>
        <v/>
      </c>
      <c r="BA124" s="355">
        <f>BA123+BA118</f>
        <v/>
      </c>
      <c r="BB124" s="355">
        <f>BB123+BB118</f>
        <v/>
      </c>
      <c r="BC124" s="355">
        <f>BC123+BC118</f>
        <v/>
      </c>
      <c r="BD124" s="355">
        <f>BD123+BD118</f>
        <v/>
      </c>
      <c r="BE124" s="355">
        <f>BE123+BE118</f>
        <v/>
      </c>
      <c r="BF124" s="355">
        <f>BF123+BF118</f>
        <v/>
      </c>
      <c r="BG124" s="355">
        <f>BG123+BG118</f>
        <v/>
      </c>
      <c r="BH124" s="355">
        <f>BH123+BH118</f>
        <v/>
      </c>
    </row>
    <row r="125" ht="13.9" customHeight="1" s="276">
      <c r="A125" s="356" t="inlineStr">
        <is>
          <t>Saldos</t>
        </is>
      </c>
      <c r="B125" s="257" t="n"/>
      <c r="C125" s="255" t="n"/>
      <c r="D125" s="57">
        <f>H136</f>
        <v/>
      </c>
      <c r="E125" s="57">
        <f>D125+E2-E124</f>
        <v/>
      </c>
      <c r="F125" s="57">
        <f>E125+F2-F124</f>
        <v/>
      </c>
      <c r="G125" s="57">
        <f>F125+G2-G124</f>
        <v/>
      </c>
      <c r="H125" s="57">
        <f>G125+H2-H124</f>
        <v/>
      </c>
      <c r="I125" s="57">
        <f>H125+I2-I124</f>
        <v/>
      </c>
      <c r="J125" s="57">
        <f>I125+J2-J124</f>
        <v/>
      </c>
      <c r="K125" s="57">
        <f>J125+K2-K124</f>
        <v/>
      </c>
      <c r="L125" s="57">
        <f>K125+L2-L124</f>
        <v/>
      </c>
      <c r="M125" s="57">
        <f>L125+M2-M124</f>
        <v/>
      </c>
      <c r="N125" s="57">
        <f>M125+N2-N124</f>
        <v/>
      </c>
      <c r="O125" s="57">
        <f>N125+O2-O124</f>
        <v/>
      </c>
      <c r="P125" s="57">
        <f>O125+P2-P124</f>
        <v/>
      </c>
      <c r="Q125" s="57">
        <f>P125+Q2-Q124</f>
        <v/>
      </c>
      <c r="R125" s="57">
        <f>Q125+R2-R124</f>
        <v/>
      </c>
      <c r="S125" s="57">
        <f>R125+S2-S124</f>
        <v/>
      </c>
      <c r="T125" s="57">
        <f>S125+T2-T124</f>
        <v/>
      </c>
      <c r="U125" s="57">
        <f>T125+U2-U124</f>
        <v/>
      </c>
      <c r="V125" s="57">
        <f>U125+V2-V124</f>
        <v/>
      </c>
      <c r="W125" s="57">
        <f>V125+W2-W124</f>
        <v/>
      </c>
      <c r="X125" s="57">
        <f>W125+X2-X124</f>
        <v/>
      </c>
      <c r="Y125" s="57">
        <f>X125+Y2-Y124</f>
        <v/>
      </c>
      <c r="Z125" s="57">
        <f>Y125+Z2-Z124</f>
        <v/>
      </c>
      <c r="AA125" s="57">
        <f>Z125+AA2-AA124</f>
        <v/>
      </c>
      <c r="AB125" s="57">
        <f>AA125+AB2-AB124</f>
        <v/>
      </c>
      <c r="AC125" s="57">
        <f>AB125+AC2-AC124</f>
        <v/>
      </c>
      <c r="AD125" s="57">
        <f>AC125+AD2-AD124</f>
        <v/>
      </c>
      <c r="AE125" s="57">
        <f>AD125+AE2-AE124</f>
        <v/>
      </c>
      <c r="AF125" s="57">
        <f>AE125+AF2-AF124</f>
        <v/>
      </c>
      <c r="AG125" s="57">
        <f>AF125+AG2-AG124</f>
        <v/>
      </c>
      <c r="AH125" s="57">
        <f>AG125+AH2-AH124</f>
        <v/>
      </c>
      <c r="AI125" s="57">
        <f>AH125+AI2-AI124</f>
        <v/>
      </c>
      <c r="AJ125" s="57">
        <f>AI125+AJ2-AJ124</f>
        <v/>
      </c>
      <c r="AK125" s="57">
        <f>AJ125+AK2-AK124</f>
        <v/>
      </c>
      <c r="AL125" s="57">
        <f>AK125+AL2-AL124</f>
        <v/>
      </c>
      <c r="AM125" s="57">
        <f>AL125+AM2-AM124</f>
        <v/>
      </c>
      <c r="AN125" s="57">
        <f>AM125+AN2-AN124</f>
        <v/>
      </c>
      <c r="AO125" s="57">
        <f>AN125+AO2-AO124</f>
        <v/>
      </c>
      <c r="AP125" s="57">
        <f>AO125+AP2-AP124</f>
        <v/>
      </c>
      <c r="AQ125" s="57">
        <f>AP125+AQ2-AQ124</f>
        <v/>
      </c>
      <c r="AR125" s="57">
        <f>AQ125+AR2-AR124</f>
        <v/>
      </c>
      <c r="AS125" s="57">
        <f>AR125+AS2-AS124</f>
        <v/>
      </c>
      <c r="AT125" s="57">
        <f>AS125+AT2-AT124</f>
        <v/>
      </c>
      <c r="AU125" s="57">
        <f>AT125+AU2-AU124</f>
        <v/>
      </c>
      <c r="AV125" s="57">
        <f>AU125+AV2-AV124</f>
        <v/>
      </c>
      <c r="AW125" s="57">
        <f>AV125+AW2-AW124</f>
        <v/>
      </c>
      <c r="AX125" s="57">
        <f>AW125+AX2-AX124</f>
        <v/>
      </c>
      <c r="AY125" s="57">
        <f>AX125+AY2-AY124</f>
        <v/>
      </c>
      <c r="AZ125" s="57">
        <f>AY125+AZ2-AZ124</f>
        <v/>
      </c>
      <c r="BA125" s="57">
        <f>AZ125+BA2-BA124</f>
        <v/>
      </c>
      <c r="BB125" s="57">
        <f>BA125+BB2-BB124</f>
        <v/>
      </c>
      <c r="BC125" s="57">
        <f>BB125+BC2-BC124</f>
        <v/>
      </c>
      <c r="BD125" s="57">
        <f>BC125+BD2-BD124</f>
        <v/>
      </c>
      <c r="BE125" s="57">
        <f>BD125+BE2-BE124</f>
        <v/>
      </c>
      <c r="BF125" s="57">
        <f>BE125+BF2-BF124</f>
        <v/>
      </c>
      <c r="BG125" s="57">
        <f>BF125+BG2-BG124</f>
        <v/>
      </c>
      <c r="BH125" s="58">
        <f>D125+BH2-D2-BH124</f>
        <v/>
      </c>
    </row>
    <row r="126" ht="13.35" customHeight="1" s="276">
      <c r="B126" s="60" t="n"/>
      <c r="C126" s="357" t="n"/>
      <c r="D126" s="357" t="n"/>
      <c r="E126" s="358" t="n"/>
      <c r="F126" s="358" t="n"/>
      <c r="G126" s="358" t="n"/>
      <c r="H126" s="358" t="n"/>
      <c r="I126" s="358" t="n"/>
      <c r="J126" s="358" t="n"/>
      <c r="K126" s="358" t="n"/>
      <c r="L126" s="358" t="n"/>
      <c r="M126" s="358" t="n"/>
      <c r="N126" s="358" t="n"/>
      <c r="O126" s="358" t="n"/>
      <c r="P126" s="358" t="n"/>
      <c r="Q126" s="358" t="n"/>
      <c r="R126" s="358" t="n"/>
      <c r="S126" s="358" t="n"/>
      <c r="T126" s="358" t="n"/>
      <c r="U126" s="358" t="n"/>
      <c r="V126" s="358" t="n"/>
      <c r="W126" s="358" t="n"/>
      <c r="X126" s="358" t="n"/>
      <c r="Y126" s="358" t="n"/>
      <c r="Z126" s="358" t="n"/>
      <c r="AA126" s="358" t="n"/>
      <c r="AB126" s="358" t="n"/>
      <c r="AC126" s="358" t="n"/>
      <c r="AD126" s="358" t="n"/>
      <c r="AE126" s="358" t="n"/>
      <c r="AF126" s="358" t="n"/>
      <c r="AG126" s="358" t="n"/>
      <c r="AH126" s="358" t="n"/>
      <c r="AI126" s="358" t="n"/>
      <c r="AJ126" s="358" t="n"/>
      <c r="AK126" s="358" t="n"/>
      <c r="AL126" s="358" t="n"/>
      <c r="AM126" s="358" t="n"/>
      <c r="AN126" s="358" t="n"/>
      <c r="AO126" s="358" t="n"/>
      <c r="AP126" s="358" t="n"/>
      <c r="AQ126" s="358" t="n"/>
      <c r="AR126" s="358" t="n"/>
      <c r="AS126" s="358" t="n"/>
      <c r="AT126" s="358" t="n"/>
      <c r="AU126" s="358" t="n"/>
      <c r="AV126" s="358" t="n"/>
      <c r="AW126" s="358" t="n"/>
      <c r="AX126" s="358" t="n"/>
      <c r="AY126" s="358" t="n"/>
      <c r="AZ126" s="358" t="n"/>
      <c r="BA126" s="358" t="n"/>
      <c r="BB126" s="358" t="n"/>
      <c r="BC126" s="358" t="n"/>
      <c r="BD126" s="358" t="n"/>
      <c r="BE126" s="358" t="n"/>
      <c r="BF126" s="358" t="n"/>
      <c r="BG126" s="358" t="n"/>
      <c r="BH126" s="358" t="n"/>
      <c r="BI126" s="358" t="n"/>
      <c r="BJ126" s="358" t="n"/>
      <c r="BK126" s="358" t="n"/>
      <c r="BL126" s="358" t="n"/>
      <c r="BM126" s="358" t="n"/>
      <c r="BN126" s="358" t="n"/>
      <c r="BO126" s="358" t="n"/>
      <c r="BP126" s="358" t="n"/>
      <c r="BQ126" s="358" t="n"/>
      <c r="BR126" s="358" t="n"/>
      <c r="BS126" s="358" t="n"/>
      <c r="BT126" s="358" t="n"/>
      <c r="BU126" s="358" t="n"/>
      <c r="BV126" s="358" t="n"/>
      <c r="BW126" s="358" t="n"/>
      <c r="BX126" s="358" t="n"/>
      <c r="BY126" s="358" t="n"/>
      <c r="BZ126" s="358" t="n"/>
      <c r="CA126" s="358" t="n"/>
      <c r="CB126" s="358" t="n"/>
      <c r="CC126" s="358" t="n"/>
      <c r="CD126" s="358" t="n"/>
      <c r="CE126" s="358" t="n"/>
      <c r="CF126" s="358" t="n"/>
      <c r="CG126" s="358" t="n"/>
      <c r="CH126" s="358" t="n"/>
      <c r="CI126" s="358" t="n"/>
      <c r="CJ126" s="358" t="n"/>
      <c r="CK126" s="358" t="n"/>
      <c r="CL126" s="358" t="n"/>
      <c r="CM126" s="358" t="n"/>
      <c r="CN126" s="358" t="n"/>
      <c r="CO126" s="358" t="n"/>
      <c r="CP126" s="358" t="n"/>
      <c r="CQ126" s="358" t="n"/>
      <c r="CR126" s="358" t="n"/>
      <c r="CS126" s="358" t="n"/>
      <c r="CT126" s="358" t="n"/>
      <c r="CU126" s="358" t="n"/>
      <c r="CV126" s="358" t="n"/>
      <c r="CW126" s="358" t="n"/>
      <c r="CX126" s="358" t="n"/>
      <c r="CY126" s="358" t="n"/>
      <c r="CZ126" s="358" t="n"/>
      <c r="DA126" s="358" t="n"/>
      <c r="DB126" s="358" t="n"/>
      <c r="DC126" s="358" t="n"/>
      <c r="DD126" s="358" t="n"/>
      <c r="DE126" s="358" t="n"/>
      <c r="DF126" s="358" t="n"/>
      <c r="DG126" s="358" t="n"/>
      <c r="DH126" s="358" t="n"/>
      <c r="DI126" s="358" t="n"/>
      <c r="DJ126" s="358" t="n"/>
      <c r="DK126" s="358" t="n"/>
      <c r="DL126" s="358" t="n"/>
      <c r="DM126" s="358" t="n"/>
      <c r="DN126" s="358" t="n"/>
      <c r="DO126" s="358" t="n"/>
      <c r="DP126" s="358" t="n"/>
      <c r="DQ126" s="358" t="n"/>
      <c r="DR126" s="358" t="n"/>
      <c r="DS126" s="358" t="n"/>
      <c r="DT126" s="358" t="n"/>
      <c r="DU126" s="358" t="n"/>
      <c r="DV126" s="358" t="n"/>
      <c r="DW126" s="358" t="n"/>
      <c r="DX126" s="358" t="n"/>
      <c r="DY126" s="358" t="n"/>
      <c r="DZ126" s="358" t="n"/>
      <c r="EA126" s="358" t="n"/>
      <c r="EB126" s="358" t="n"/>
      <c r="EC126" s="358" t="n"/>
      <c r="ED126" s="358" t="n"/>
      <c r="EE126" s="358" t="n"/>
      <c r="EF126" s="358" t="n"/>
      <c r="EG126" s="358" t="n"/>
      <c r="EH126" s="358" t="n"/>
      <c r="EI126" s="358" t="n"/>
      <c r="EJ126" s="358" t="n"/>
      <c r="EK126" s="358" t="n"/>
      <c r="EL126" s="358" t="n"/>
      <c r="EM126" s="358" t="n"/>
      <c r="EN126" s="358" t="n"/>
      <c r="EO126" s="358" t="n"/>
      <c r="EP126" s="358" t="n"/>
      <c r="EQ126" s="358" t="n"/>
      <c r="ER126" s="358" t="n"/>
      <c r="ES126" s="358" t="n"/>
      <c r="ET126" s="358" t="n"/>
      <c r="EU126" s="358" t="n"/>
      <c r="EV126" s="358" t="n"/>
      <c r="EW126" s="358" t="n"/>
      <c r="EX126" s="358" t="n"/>
      <c r="EY126" s="358" t="n"/>
      <c r="EZ126" s="358" t="n"/>
      <c r="FA126" s="358" t="n"/>
      <c r="FB126" s="358" t="n"/>
      <c r="FC126" s="359" t="n"/>
    </row>
    <row r="127" ht="13.35" customHeight="1" s="276">
      <c r="A127" s="61" t="inlineStr">
        <is>
          <t>N˚</t>
        </is>
      </c>
      <c r="B127" s="62" t="inlineStr">
        <is>
          <t>Rubricas</t>
        </is>
      </c>
      <c r="C127" s="61" t="inlineStr">
        <is>
          <t>Perc.</t>
        </is>
      </c>
      <c r="D127" s="61" t="inlineStr">
        <is>
          <t>Previsto</t>
        </is>
      </c>
      <c r="E127" s="61" t="inlineStr">
        <is>
          <t>Recebido</t>
        </is>
      </c>
      <c r="F127" s="61" t="inlineStr">
        <is>
          <t>A Receber</t>
        </is>
      </c>
      <c r="G127" s="61" t="inlineStr">
        <is>
          <t>Gasto</t>
        </is>
      </c>
      <c r="H127" s="61" t="inlineStr">
        <is>
          <t>Saldo</t>
        </is>
      </c>
      <c r="I127" s="360" t="inlineStr">
        <is>
          <t>A gastar</t>
        </is>
      </c>
      <c r="J127" s="361" t="inlineStr">
        <is>
          <t>Result.</t>
        </is>
      </c>
      <c r="K127" s="362" t="n"/>
      <c r="L127" s="362" t="n"/>
      <c r="M127" s="362" t="n"/>
      <c r="N127" s="362" t="n"/>
      <c r="O127" s="362" t="n"/>
      <c r="P127" s="362" t="n"/>
      <c r="Q127" s="362" t="n"/>
      <c r="R127" s="362" t="n"/>
      <c r="S127" s="362" t="n"/>
      <c r="T127" s="362" t="n"/>
      <c r="U127" s="362" t="n"/>
      <c r="V127" s="362" t="n"/>
      <c r="W127" s="362" t="n"/>
      <c r="X127" s="362" t="n"/>
      <c r="Y127" s="362" t="n"/>
      <c r="Z127" s="362" t="n"/>
      <c r="AA127" s="362" t="n"/>
      <c r="AB127" s="362" t="n"/>
      <c r="AC127" s="362" t="n"/>
      <c r="AD127" s="362" t="n"/>
      <c r="AE127" s="362" t="n"/>
      <c r="AF127" s="362" t="n"/>
      <c r="AG127" s="362" t="n"/>
      <c r="AH127" s="362" t="n"/>
      <c r="AI127" s="362" t="n"/>
      <c r="AJ127" s="362" t="n"/>
      <c r="AK127" s="362" t="n"/>
      <c r="AL127" s="362" t="n"/>
      <c r="AM127" s="362" t="n"/>
      <c r="AN127" s="362" t="n"/>
      <c r="AO127" s="362" t="n"/>
      <c r="AP127" s="362" t="n"/>
      <c r="AQ127" s="362" t="n"/>
      <c r="AR127" s="362" t="n"/>
      <c r="AS127" s="362" t="n"/>
      <c r="AT127" s="362" t="n"/>
      <c r="AU127" s="362" t="n"/>
      <c r="AV127" s="362" t="n"/>
      <c r="AW127" s="362" t="n"/>
      <c r="AX127" s="362" t="n"/>
      <c r="AY127" s="362" t="n"/>
      <c r="AZ127" s="362" t="n"/>
      <c r="BA127" s="362" t="n"/>
      <c r="BB127" s="362" t="n"/>
      <c r="BC127" s="362" t="n"/>
      <c r="BD127" s="362" t="n"/>
      <c r="BE127" s="362" t="n"/>
      <c r="BF127" s="362" t="n"/>
      <c r="BG127" s="362" t="n"/>
      <c r="BH127" s="362" t="n"/>
      <c r="BI127" s="362" t="n"/>
      <c r="BJ127" s="362" t="n"/>
      <c r="BK127" s="362" t="n"/>
      <c r="BL127" s="362" t="n"/>
      <c r="BM127" s="362" t="n"/>
      <c r="BN127" s="362" t="n"/>
      <c r="BO127" s="362" t="n"/>
      <c r="BP127" s="362" t="n"/>
      <c r="BQ127" s="362" t="n"/>
      <c r="BR127" s="362" t="n"/>
      <c r="BS127" s="362" t="n"/>
      <c r="BT127" s="362" t="n"/>
      <c r="BU127" s="362" t="n"/>
      <c r="BV127" s="362" t="n"/>
      <c r="BW127" s="362" t="n"/>
      <c r="BX127" s="362" t="n"/>
      <c r="BY127" s="362" t="n"/>
      <c r="BZ127" s="362" t="n"/>
      <c r="CA127" s="362" t="n"/>
      <c r="CB127" s="362" t="n"/>
      <c r="CC127" s="362" t="n"/>
      <c r="CD127" s="362" t="n"/>
      <c r="CE127" s="362" t="n"/>
      <c r="CF127" s="362" t="n"/>
      <c r="CG127" s="362" t="n"/>
      <c r="CH127" s="362" t="n"/>
      <c r="CI127" s="362" t="n"/>
      <c r="CJ127" s="362" t="n"/>
      <c r="CK127" s="362" t="n"/>
      <c r="CL127" s="362" t="n"/>
      <c r="CM127" s="362" t="n"/>
      <c r="CN127" s="362" t="n"/>
      <c r="CO127" s="362" t="n"/>
      <c r="CP127" s="362" t="n"/>
      <c r="CQ127" s="362" t="n"/>
      <c r="CR127" s="362" t="n"/>
      <c r="CS127" s="362" t="n"/>
      <c r="CT127" s="362" t="n"/>
      <c r="CU127" s="362" t="n"/>
      <c r="CV127" s="362" t="n"/>
      <c r="CW127" s="362" t="n"/>
      <c r="CX127" s="362" t="n"/>
      <c r="CY127" s="362" t="n"/>
      <c r="CZ127" s="362" t="n"/>
      <c r="DA127" s="362" t="n"/>
      <c r="DB127" s="362" t="n"/>
      <c r="DC127" s="362" t="n"/>
      <c r="DD127" s="362" t="n"/>
      <c r="DE127" s="362" t="n"/>
      <c r="DF127" s="362" t="n"/>
      <c r="DG127" s="362" t="n"/>
      <c r="DH127" s="362" t="n"/>
      <c r="DI127" s="362" t="n"/>
      <c r="DJ127" s="362" t="n"/>
      <c r="DK127" s="362" t="n"/>
      <c r="DL127" s="362" t="n"/>
      <c r="DM127" s="362" t="n"/>
      <c r="DN127" s="362" t="n"/>
      <c r="DO127" s="362" t="n"/>
      <c r="DP127" s="362" t="n"/>
      <c r="DQ127" s="362" t="n"/>
      <c r="DR127" s="362" t="n"/>
      <c r="DS127" s="362" t="n"/>
      <c r="DT127" s="362" t="n"/>
      <c r="DU127" s="362" t="n"/>
      <c r="DV127" s="362" t="n"/>
      <c r="DW127" s="362" t="n"/>
      <c r="DX127" s="362" t="n"/>
      <c r="DY127" s="362" t="n"/>
      <c r="DZ127" s="362" t="n"/>
      <c r="EA127" s="362" t="n"/>
      <c r="EB127" s="362" t="n"/>
      <c r="EC127" s="362" t="n"/>
      <c r="ED127" s="362" t="n"/>
      <c r="EE127" s="362" t="n"/>
      <c r="EF127" s="362" t="n"/>
      <c r="EG127" s="362" t="n"/>
      <c r="EH127" s="362" t="n"/>
      <c r="EI127" s="362" t="n"/>
      <c r="EJ127" s="362" t="n"/>
      <c r="EK127" s="362" t="n"/>
      <c r="EL127" s="362" t="n"/>
      <c r="EM127" s="362" t="n"/>
      <c r="EN127" s="362" t="n"/>
      <c r="EO127" s="362" t="n"/>
      <c r="EP127" s="362" t="n"/>
      <c r="EQ127" s="362" t="n"/>
      <c r="ER127" s="362" t="n"/>
      <c r="ES127" s="362" t="n"/>
      <c r="ET127" s="362" t="n"/>
      <c r="EU127" s="362" t="n"/>
      <c r="EV127" s="362" t="n"/>
      <c r="EW127" s="362" t="n"/>
      <c r="EX127" s="362" t="n"/>
      <c r="EY127" s="362" t="n"/>
      <c r="EZ127" s="362" t="n"/>
      <c r="FA127" s="362" t="n"/>
      <c r="FB127" s="362" t="n"/>
      <c r="FC127" s="362" t="n"/>
      <c r="FD127" s="362" t="n"/>
      <c r="FE127" s="362" t="n"/>
      <c r="FF127" s="362" t="n"/>
      <c r="FG127" s="362" t="n"/>
      <c r="FH127" s="362" t="n"/>
      <c r="FI127" s="362" t="n"/>
      <c r="FJ127" s="362" t="n"/>
      <c r="FK127" s="362" t="n"/>
      <c r="FL127" s="362" t="n"/>
      <c r="FM127" s="362" t="n"/>
      <c r="FN127" s="362" t="n"/>
      <c r="FO127" s="362" t="n"/>
      <c r="FP127" s="362" t="n"/>
      <c r="FQ127" s="362" t="n"/>
      <c r="FR127" s="362" t="n"/>
      <c r="FS127" s="362" t="n"/>
      <c r="FT127" s="362" t="n"/>
      <c r="FU127" s="362" t="n"/>
      <c r="FV127" s="362" t="n"/>
      <c r="FW127" s="362" t="n"/>
      <c r="FX127" s="362" t="n"/>
      <c r="FY127" s="363" t="n"/>
      <c r="FZ127" s="363" t="n"/>
      <c r="GA127" s="363" t="n"/>
    </row>
    <row r="128" ht="13.35" customHeight="1" s="276">
      <c r="A128" s="55" t="n">
        <v>1</v>
      </c>
      <c r="B128" s="254" t="inlineStr">
        <is>
          <t>Aplicação em Fundos</t>
        </is>
      </c>
      <c r="C128" s="63" t="n">
        <v>0</v>
      </c>
      <c r="D128" s="64" t="n">
        <v>0</v>
      </c>
      <c r="E128" s="65" t="n">
        <v>0</v>
      </c>
      <c r="F128" s="66" t="n">
        <v>0</v>
      </c>
      <c r="G128" s="64" t="n">
        <v>0</v>
      </c>
      <c r="H128" s="67" t="n">
        <v>881075.1899999999</v>
      </c>
      <c r="I128" s="68" t="n">
        <v>0</v>
      </c>
      <c r="J128" s="69">
        <f>H128-I128</f>
        <v/>
      </c>
      <c r="K128" s="70" t="n"/>
      <c r="L128" s="70" t="n"/>
      <c r="M128" s="70" t="n"/>
      <c r="N128" s="70" t="n"/>
      <c r="O128" s="70" t="n"/>
      <c r="P128" s="70" t="n"/>
      <c r="Q128" s="70" t="n"/>
      <c r="R128" s="70" t="n"/>
      <c r="S128" s="70" t="n"/>
      <c r="T128" s="70" t="n"/>
      <c r="U128" s="70" t="n"/>
      <c r="V128" s="70" t="n"/>
      <c r="W128" s="70" t="n"/>
      <c r="X128" s="70" t="n"/>
      <c r="Y128" s="70" t="n"/>
      <c r="Z128" s="70" t="n"/>
      <c r="AA128" s="70" t="n"/>
      <c r="AB128" s="70" t="n"/>
      <c r="AC128" s="70" t="n"/>
      <c r="AD128" s="70" t="n"/>
      <c r="AE128" s="70" t="n"/>
      <c r="AF128" s="70" t="n"/>
      <c r="AG128" s="70" t="n"/>
      <c r="AH128" s="70" t="n"/>
      <c r="AI128" s="70" t="n"/>
      <c r="AJ128" s="70" t="n"/>
      <c r="AK128" s="70" t="n"/>
      <c r="AL128" s="70" t="n"/>
      <c r="AM128" s="70" t="n"/>
      <c r="AN128" s="70" t="n"/>
      <c r="AO128" s="70" t="n"/>
      <c r="AP128" s="70" t="n"/>
      <c r="AQ128" s="70" t="n"/>
      <c r="AR128" s="70" t="n"/>
      <c r="AS128" s="70" t="n"/>
      <c r="AT128" s="70" t="n"/>
      <c r="AU128" s="70" t="n"/>
      <c r="AV128" s="70" t="n"/>
      <c r="AW128" s="70" t="n"/>
      <c r="AX128" s="70" t="n"/>
      <c r="AY128" s="70" t="n"/>
      <c r="AZ128" s="70" t="n"/>
      <c r="BA128" s="70" t="n"/>
      <c r="BB128" s="70" t="n"/>
      <c r="BC128" s="70" t="n"/>
      <c r="BD128" s="70" t="n"/>
      <c r="BE128" s="70" t="n"/>
      <c r="BF128" s="70" t="n"/>
      <c r="BG128" s="70" t="n"/>
      <c r="BH128" s="70" t="n"/>
      <c r="BI128" s="70" t="n"/>
      <c r="BJ128" s="70" t="n"/>
      <c r="BK128" s="70" t="n"/>
      <c r="BL128" s="70" t="n"/>
      <c r="BM128" s="70" t="n"/>
      <c r="BN128" s="70" t="n"/>
      <c r="BO128" s="70" t="n"/>
      <c r="BP128" s="70" t="n"/>
      <c r="BQ128" s="70" t="n"/>
      <c r="BR128" s="70" t="n"/>
      <c r="BS128" s="70" t="n"/>
      <c r="BT128" s="70" t="n"/>
      <c r="BU128" s="70" t="n"/>
      <c r="BV128" s="70" t="n"/>
      <c r="BW128" s="70" t="n"/>
      <c r="BX128" s="70" t="n"/>
      <c r="BY128" s="70" t="n"/>
      <c r="BZ128" s="70" t="n"/>
      <c r="CA128" s="70" t="n"/>
      <c r="CB128" s="70" t="n"/>
      <c r="CC128" s="70" t="n"/>
      <c r="CD128" s="70" t="n"/>
      <c r="CE128" s="70" t="n"/>
      <c r="CF128" s="70" t="n"/>
      <c r="CG128" s="70" t="n"/>
      <c r="CH128" s="70" t="n"/>
      <c r="CI128" s="70" t="n"/>
      <c r="CJ128" s="70" t="n"/>
      <c r="CK128" s="70" t="n"/>
      <c r="CL128" s="70" t="n"/>
      <c r="CM128" s="70" t="n"/>
      <c r="CN128" s="70" t="n"/>
      <c r="CO128" s="70" t="n"/>
      <c r="CP128" s="70" t="n"/>
      <c r="CQ128" s="70" t="n"/>
      <c r="CR128" s="70" t="n"/>
      <c r="CS128" s="70" t="n"/>
      <c r="CT128" s="70" t="n"/>
      <c r="CU128" s="70" t="n"/>
      <c r="CV128" s="70" t="n"/>
      <c r="CW128" s="70" t="n"/>
      <c r="CX128" s="70" t="n"/>
      <c r="CY128" s="70" t="n"/>
      <c r="CZ128" s="70" t="n"/>
      <c r="DA128" s="70" t="n"/>
      <c r="DB128" s="70" t="n"/>
      <c r="DC128" s="70" t="n"/>
      <c r="DD128" s="70" t="n"/>
      <c r="DE128" s="70" t="n"/>
      <c r="DF128" s="70" t="n"/>
      <c r="DG128" s="70" t="n"/>
      <c r="DH128" s="70" t="n"/>
      <c r="DI128" s="70" t="n"/>
      <c r="DJ128" s="70" t="n"/>
      <c r="DK128" s="70" t="n"/>
      <c r="DL128" s="70" t="n"/>
      <c r="DM128" s="70" t="n"/>
      <c r="DN128" s="70" t="n"/>
      <c r="DO128" s="70" t="n"/>
      <c r="DP128" s="70" t="n"/>
      <c r="DQ128" s="70" t="n"/>
      <c r="DR128" s="70" t="n"/>
      <c r="DS128" s="70" t="n"/>
      <c r="DT128" s="70" t="n"/>
      <c r="DU128" s="70" t="n"/>
      <c r="DV128" s="70" t="n"/>
      <c r="DW128" s="70" t="n"/>
      <c r="DX128" s="70" t="n"/>
      <c r="DY128" s="70" t="n"/>
      <c r="DZ128" s="70" t="n"/>
      <c r="EA128" s="70" t="n"/>
      <c r="EB128" s="70" t="n"/>
      <c r="EC128" s="70" t="n"/>
      <c r="ED128" s="70" t="n"/>
      <c r="EE128" s="70" t="n"/>
      <c r="EF128" s="70" t="n"/>
      <c r="EG128" s="70" t="n"/>
      <c r="EH128" s="70" t="n"/>
      <c r="EI128" s="70" t="n"/>
      <c r="EJ128" s="70" t="n"/>
      <c r="EK128" s="70" t="n"/>
      <c r="EL128" s="70" t="n"/>
      <c r="EM128" s="70" t="n"/>
      <c r="EN128" s="70" t="n"/>
      <c r="EO128" s="70" t="n"/>
      <c r="EP128" s="70" t="n"/>
      <c r="EQ128" s="70" t="n"/>
      <c r="ER128" s="70" t="n"/>
      <c r="ES128" s="70" t="n"/>
      <c r="ET128" s="70" t="n"/>
      <c r="EU128" s="70" t="n"/>
      <c r="EV128" s="70" t="n"/>
      <c r="EW128" s="70" t="n"/>
      <c r="EX128" s="70" t="n"/>
      <c r="EY128" s="70" t="n"/>
      <c r="EZ128" s="70" t="n"/>
      <c r="FA128" s="70" t="n"/>
      <c r="FB128" s="70" t="n"/>
      <c r="FC128" s="70" t="n"/>
      <c r="FD128" s="70" t="n"/>
      <c r="FE128" s="70" t="n"/>
      <c r="FF128" s="70" t="n"/>
      <c r="FG128" s="70" t="n"/>
      <c r="FH128" s="70" t="n"/>
      <c r="FI128" s="70" t="n"/>
      <c r="FJ128" s="70" t="n"/>
      <c r="FK128" s="70" t="n"/>
      <c r="FL128" s="70" t="n"/>
      <c r="FM128" s="70" t="n"/>
      <c r="FN128" s="70" t="n"/>
      <c r="FO128" s="70" t="n"/>
      <c r="FP128" s="70" t="n"/>
      <c r="FQ128" s="70" t="n"/>
      <c r="FR128" s="70" t="n"/>
      <c r="FS128" s="70" t="n"/>
      <c r="FT128" s="70" t="n"/>
      <c r="FU128" s="70" t="n"/>
      <c r="FV128" s="70" t="n"/>
      <c r="FW128" s="70" t="n"/>
      <c r="FX128" s="70" t="n"/>
      <c r="FY128" s="71" t="n"/>
      <c r="FZ128" s="71" t="n"/>
      <c r="GA128" s="71" t="n"/>
    </row>
    <row r="129" ht="13.35" customHeight="1" s="276">
      <c r="A129" s="55">
        <f>A128+1</f>
        <v/>
      </c>
      <c r="B129" s="72" t="inlineStr">
        <is>
          <t>Passagens</t>
        </is>
      </c>
      <c r="C129" s="63">
        <f>D129/65970254</f>
        <v/>
      </c>
      <c r="D129" s="64" t="n">
        <v>990000</v>
      </c>
      <c r="E129" s="65">
        <f>25200000*C129</f>
        <v/>
      </c>
      <c r="F129" s="66">
        <f>D129-E129</f>
        <v/>
      </c>
      <c r="G129" s="64" t="n">
        <v>0</v>
      </c>
      <c r="H129" s="67">
        <f>E129+G129</f>
        <v/>
      </c>
      <c r="I129" s="68" t="n">
        <v>0</v>
      </c>
      <c r="J129" s="69">
        <f>E129+F129+G129+I129</f>
        <v/>
      </c>
      <c r="K129" s="70" t="n"/>
      <c r="L129" s="70" t="n"/>
      <c r="M129" s="70" t="n"/>
      <c r="N129" s="70" t="n"/>
      <c r="O129" s="70" t="n"/>
      <c r="P129" s="70" t="n"/>
      <c r="Q129" s="70">
        <f>16000000/55</f>
        <v/>
      </c>
      <c r="R129" s="70" t="n"/>
      <c r="S129" s="70" t="n"/>
      <c r="T129" s="70" t="n"/>
      <c r="U129" s="70" t="n"/>
      <c r="V129" s="70" t="n"/>
      <c r="W129" s="70" t="n"/>
      <c r="X129" s="70" t="n"/>
      <c r="Y129" s="70" t="n"/>
      <c r="Z129" s="70" t="n"/>
      <c r="AA129" s="70" t="n"/>
      <c r="AB129" s="70" t="n"/>
      <c r="AC129" s="70" t="n"/>
      <c r="AD129" s="70" t="n"/>
      <c r="AE129" s="70" t="n"/>
      <c r="AF129" s="70" t="n"/>
      <c r="AG129" s="70" t="n"/>
      <c r="AH129" s="70" t="n"/>
      <c r="AI129" s="70" t="n"/>
      <c r="AJ129" s="70" t="n"/>
      <c r="AK129" s="70" t="n"/>
      <c r="AL129" s="70" t="n"/>
      <c r="AM129" s="70" t="n"/>
      <c r="AN129" s="70" t="n"/>
      <c r="AO129" s="70" t="n"/>
      <c r="AP129" s="70" t="n"/>
      <c r="AQ129" s="70" t="n"/>
      <c r="AR129" s="70" t="n"/>
      <c r="AS129" s="70" t="n"/>
      <c r="AT129" s="70" t="n"/>
      <c r="AU129" s="70" t="n"/>
      <c r="AV129" s="70" t="n"/>
      <c r="AW129" s="70" t="n"/>
      <c r="AX129" s="70" t="n"/>
      <c r="AY129" s="70" t="n"/>
      <c r="AZ129" s="70" t="n"/>
      <c r="BA129" s="70" t="n"/>
      <c r="BB129" s="70" t="n"/>
      <c r="BC129" s="70" t="n"/>
      <c r="BD129" s="70" t="n"/>
      <c r="BE129" s="70" t="n"/>
      <c r="BF129" s="70" t="n"/>
      <c r="BG129" s="70" t="n"/>
      <c r="BH129" s="70" t="n"/>
      <c r="BI129" s="70" t="n"/>
      <c r="BJ129" s="70" t="n"/>
      <c r="BK129" s="70" t="n"/>
      <c r="BL129" s="70" t="n"/>
      <c r="BM129" s="70" t="n"/>
      <c r="BN129" s="70" t="n"/>
      <c r="BO129" s="70" t="n"/>
      <c r="BP129" s="70" t="n"/>
      <c r="BQ129" s="70" t="n"/>
      <c r="BR129" s="70" t="n"/>
      <c r="BS129" s="70" t="n"/>
      <c r="BT129" s="70" t="n"/>
      <c r="BU129" s="70" t="n"/>
      <c r="BV129" s="70" t="n"/>
      <c r="BW129" s="70" t="n"/>
      <c r="BX129" s="70" t="n"/>
      <c r="BY129" s="70" t="n"/>
      <c r="BZ129" s="70" t="n"/>
      <c r="CA129" s="70" t="n"/>
      <c r="CB129" s="70" t="n"/>
      <c r="CC129" s="70" t="n"/>
      <c r="CD129" s="70" t="n"/>
      <c r="CE129" s="70" t="n"/>
      <c r="CF129" s="70" t="n"/>
      <c r="CG129" s="70" t="n"/>
      <c r="CH129" s="70" t="n"/>
      <c r="CI129" s="70" t="n"/>
      <c r="CJ129" s="70" t="n"/>
      <c r="CK129" s="70" t="n"/>
      <c r="CL129" s="70" t="n"/>
      <c r="CM129" s="70" t="n"/>
      <c r="CN129" s="70" t="n"/>
      <c r="CO129" s="70" t="n"/>
      <c r="CP129" s="70" t="n"/>
      <c r="CQ129" s="70" t="n"/>
      <c r="CR129" s="70" t="n"/>
      <c r="CS129" s="70" t="n"/>
      <c r="CT129" s="70" t="n"/>
      <c r="CU129" s="70" t="n"/>
      <c r="CV129" s="70" t="n"/>
      <c r="CW129" s="70" t="n"/>
      <c r="CX129" s="70" t="n"/>
      <c r="CY129" s="70" t="n"/>
      <c r="CZ129" s="70" t="n"/>
      <c r="DA129" s="70" t="n"/>
      <c r="DB129" s="70" t="n"/>
      <c r="DC129" s="70" t="n"/>
      <c r="DD129" s="70" t="n"/>
      <c r="DE129" s="70" t="n"/>
      <c r="DF129" s="70" t="n"/>
      <c r="DG129" s="70" t="n"/>
      <c r="DH129" s="70" t="n"/>
      <c r="DI129" s="70" t="n"/>
      <c r="DJ129" s="70" t="n"/>
      <c r="DK129" s="70" t="n"/>
      <c r="DL129" s="70" t="n"/>
      <c r="DM129" s="70" t="n"/>
      <c r="DN129" s="70" t="n"/>
      <c r="DO129" s="70" t="n"/>
      <c r="DP129" s="70" t="n"/>
      <c r="DQ129" s="70" t="n"/>
      <c r="DR129" s="70" t="n"/>
      <c r="DS129" s="70" t="n"/>
      <c r="DT129" s="70" t="n"/>
      <c r="DU129" s="70" t="n"/>
      <c r="DV129" s="70" t="n"/>
      <c r="DW129" s="70" t="n"/>
      <c r="DX129" s="70" t="n"/>
      <c r="DY129" s="70" t="n"/>
      <c r="DZ129" s="70" t="n"/>
      <c r="EA129" s="70" t="n"/>
      <c r="EB129" s="70" t="n"/>
      <c r="EC129" s="70" t="n"/>
      <c r="ED129" s="70" t="n"/>
      <c r="EE129" s="70" t="n"/>
      <c r="EF129" s="70" t="n"/>
      <c r="EG129" s="70" t="n"/>
      <c r="EH129" s="70" t="n"/>
      <c r="EI129" s="70" t="n"/>
      <c r="EJ129" s="70" t="n"/>
      <c r="EK129" s="70" t="n"/>
      <c r="EL129" s="70" t="n"/>
      <c r="EM129" s="70" t="n"/>
      <c r="EN129" s="70" t="n"/>
      <c r="EO129" s="70" t="n"/>
      <c r="EP129" s="70" t="n"/>
      <c r="EQ129" s="70" t="n"/>
      <c r="ER129" s="70" t="n"/>
      <c r="ES129" s="70" t="n"/>
      <c r="ET129" s="70" t="n"/>
      <c r="EU129" s="70" t="n"/>
      <c r="EV129" s="70" t="n"/>
      <c r="EW129" s="70" t="n"/>
      <c r="EX129" s="70" t="n"/>
      <c r="EY129" s="70" t="n"/>
      <c r="EZ129" s="70" t="n"/>
      <c r="FA129" s="70" t="n"/>
      <c r="FB129" s="70" t="n"/>
      <c r="FC129" s="70" t="n"/>
      <c r="FD129" s="70" t="n"/>
      <c r="FE129" s="70" t="n"/>
      <c r="FF129" s="70" t="n"/>
      <c r="FG129" s="70" t="n"/>
      <c r="FH129" s="70" t="n"/>
      <c r="FI129" s="70" t="n"/>
      <c r="FJ129" s="70" t="n"/>
      <c r="FK129" s="70" t="n"/>
      <c r="FL129" s="70" t="n"/>
      <c r="FM129" s="70" t="n"/>
      <c r="FN129" s="70" t="n"/>
      <c r="FO129" s="70" t="n"/>
      <c r="FP129" s="70" t="n"/>
      <c r="FQ129" s="70" t="n"/>
      <c r="FR129" s="70" t="n"/>
      <c r="FS129" s="70" t="n"/>
      <c r="FT129" s="70" t="n"/>
      <c r="FU129" s="70" t="n"/>
      <c r="FV129" s="70" t="n"/>
      <c r="FW129" s="70" t="n"/>
      <c r="FX129" s="70" t="n"/>
      <c r="FY129" s="71" t="n"/>
      <c r="FZ129" s="71" t="n"/>
      <c r="GA129" s="71" t="n"/>
    </row>
    <row r="130" ht="13.35" customHeight="1" s="276">
      <c r="A130" s="55">
        <f>A129+1</f>
        <v/>
      </c>
      <c r="B130" s="72" t="inlineStr">
        <is>
          <t>Diárias</t>
        </is>
      </c>
      <c r="C130" s="63">
        <f>D130/65970254</f>
        <v/>
      </c>
      <c r="D130" s="64" t="n">
        <v>551149.5</v>
      </c>
      <c r="E130" s="65">
        <f>25200000*C130</f>
        <v/>
      </c>
      <c r="F130" s="66">
        <f>D130-E130</f>
        <v/>
      </c>
      <c r="G130" s="64" t="n">
        <v>0</v>
      </c>
      <c r="H130" s="67">
        <f>E130+G130</f>
        <v/>
      </c>
      <c r="I130" s="68" t="n">
        <v>0</v>
      </c>
      <c r="J130" s="69">
        <f>E130+F130+G130+I130</f>
        <v/>
      </c>
      <c r="K130" s="70" t="n"/>
      <c r="L130" s="70" t="n"/>
      <c r="M130" s="70" t="n"/>
      <c r="N130" s="70" t="n"/>
      <c r="O130" s="70" t="n"/>
      <c r="P130" s="70" t="n"/>
      <c r="Q130" s="70" t="n"/>
      <c r="R130" s="70" t="n"/>
      <c r="S130" s="70" t="n"/>
      <c r="T130" s="70" t="n"/>
      <c r="U130" s="70" t="n"/>
      <c r="V130" s="70" t="n"/>
      <c r="W130" s="70" t="n"/>
      <c r="X130" s="70" t="n"/>
      <c r="Y130" s="70" t="n"/>
      <c r="Z130" s="70" t="n"/>
      <c r="AA130" s="70" t="n"/>
      <c r="AB130" s="70" t="n"/>
      <c r="AC130" s="70" t="n"/>
      <c r="AD130" s="70" t="n"/>
      <c r="AE130" s="70" t="n"/>
      <c r="AF130" s="70" t="n"/>
      <c r="AG130" s="70" t="n"/>
      <c r="AH130" s="70" t="n"/>
      <c r="AI130" s="70" t="n"/>
      <c r="AJ130" s="70" t="n"/>
      <c r="AK130" s="70" t="n"/>
      <c r="AL130" s="70" t="n"/>
      <c r="AM130" s="70" t="n"/>
      <c r="AN130" s="70" t="n"/>
      <c r="AO130" s="70" t="n"/>
      <c r="AP130" s="70" t="n"/>
      <c r="AQ130" s="70" t="n"/>
      <c r="AR130" s="70" t="n"/>
      <c r="AS130" s="70" t="n"/>
      <c r="AT130" s="70" t="n"/>
      <c r="AU130" s="70" t="n"/>
      <c r="AV130" s="70" t="n"/>
      <c r="AW130" s="70" t="n"/>
      <c r="AX130" s="70" t="n"/>
      <c r="AY130" s="70" t="n"/>
      <c r="AZ130" s="70" t="n"/>
      <c r="BA130" s="70" t="n"/>
      <c r="BB130" s="70" t="n"/>
      <c r="BC130" s="70" t="n"/>
      <c r="BD130" s="70" t="n"/>
      <c r="BE130" s="70" t="n"/>
      <c r="BF130" s="70" t="n"/>
      <c r="BG130" s="70" t="n"/>
      <c r="BH130" s="70" t="n"/>
      <c r="BI130" s="70" t="n"/>
      <c r="BJ130" s="70" t="n"/>
      <c r="BK130" s="70" t="n"/>
      <c r="BL130" s="70" t="n"/>
      <c r="BM130" s="70" t="n"/>
      <c r="BN130" s="70" t="n"/>
      <c r="BO130" s="70" t="n"/>
      <c r="BP130" s="70" t="n"/>
      <c r="BQ130" s="70" t="n"/>
      <c r="BR130" s="70" t="n"/>
      <c r="BS130" s="70" t="n"/>
      <c r="BT130" s="70" t="n"/>
      <c r="BU130" s="70" t="n"/>
      <c r="BV130" s="70" t="n"/>
      <c r="BW130" s="70" t="n"/>
      <c r="BX130" s="70" t="n"/>
      <c r="BY130" s="70" t="n"/>
      <c r="BZ130" s="70" t="n"/>
      <c r="CA130" s="70" t="n"/>
      <c r="CB130" s="70" t="n"/>
      <c r="CC130" s="70" t="n"/>
      <c r="CD130" s="70" t="n"/>
      <c r="CE130" s="70" t="n"/>
      <c r="CF130" s="70" t="n"/>
      <c r="CG130" s="70" t="n"/>
      <c r="CH130" s="70" t="n"/>
      <c r="CI130" s="70" t="n"/>
      <c r="CJ130" s="70" t="n"/>
      <c r="CK130" s="70" t="n"/>
      <c r="CL130" s="70" t="n"/>
      <c r="CM130" s="70" t="n"/>
      <c r="CN130" s="70" t="n"/>
      <c r="CO130" s="70" t="n"/>
      <c r="CP130" s="70" t="n"/>
      <c r="CQ130" s="70" t="n"/>
      <c r="CR130" s="70" t="n"/>
      <c r="CS130" s="70" t="n"/>
      <c r="CT130" s="70" t="n"/>
      <c r="CU130" s="70" t="n"/>
      <c r="CV130" s="70" t="n"/>
      <c r="CW130" s="70" t="n"/>
      <c r="CX130" s="70" t="n"/>
      <c r="CY130" s="70" t="n"/>
      <c r="CZ130" s="70" t="n"/>
      <c r="DA130" s="70" t="n"/>
      <c r="DB130" s="70" t="n"/>
      <c r="DC130" s="70" t="n"/>
      <c r="DD130" s="70" t="n"/>
      <c r="DE130" s="70" t="n"/>
      <c r="DF130" s="70" t="n"/>
      <c r="DG130" s="70" t="n"/>
      <c r="DH130" s="70" t="n"/>
      <c r="DI130" s="70" t="n"/>
      <c r="DJ130" s="70" t="n"/>
      <c r="DK130" s="70" t="n"/>
      <c r="DL130" s="70" t="n"/>
      <c r="DM130" s="70" t="n"/>
      <c r="DN130" s="70" t="n"/>
      <c r="DO130" s="70" t="n"/>
      <c r="DP130" s="70" t="n"/>
      <c r="DQ130" s="70" t="n"/>
      <c r="DR130" s="70" t="n"/>
      <c r="DS130" s="70" t="n"/>
      <c r="DT130" s="70" t="n"/>
      <c r="DU130" s="70" t="n"/>
      <c r="DV130" s="70" t="n"/>
      <c r="DW130" s="70" t="n"/>
      <c r="DX130" s="70" t="n"/>
      <c r="DY130" s="70" t="n"/>
      <c r="DZ130" s="70" t="n"/>
      <c r="EA130" s="70" t="n"/>
      <c r="EB130" s="70" t="n"/>
      <c r="EC130" s="70" t="n"/>
      <c r="ED130" s="70" t="n"/>
      <c r="EE130" s="70" t="n"/>
      <c r="EF130" s="70" t="n"/>
      <c r="EG130" s="70" t="n"/>
      <c r="EH130" s="70" t="n"/>
      <c r="EI130" s="70" t="n"/>
      <c r="EJ130" s="70" t="n"/>
      <c r="EK130" s="70" t="n"/>
      <c r="EL130" s="70" t="n"/>
      <c r="EM130" s="70" t="n"/>
      <c r="EN130" s="70" t="n"/>
      <c r="EO130" s="70" t="n"/>
      <c r="EP130" s="70" t="n"/>
      <c r="EQ130" s="70" t="n"/>
      <c r="ER130" s="70" t="n"/>
      <c r="ES130" s="70" t="n"/>
      <c r="ET130" s="70" t="n"/>
      <c r="EU130" s="70" t="n"/>
      <c r="EV130" s="70" t="n"/>
      <c r="EW130" s="70" t="n"/>
      <c r="EX130" s="70" t="n"/>
      <c r="EY130" s="70" t="n"/>
      <c r="EZ130" s="70" t="n"/>
      <c r="FA130" s="70" t="n"/>
      <c r="FB130" s="70" t="n"/>
      <c r="FC130" s="70" t="n"/>
      <c r="FD130" s="70" t="n"/>
      <c r="FE130" s="70" t="n"/>
      <c r="FF130" s="70" t="n"/>
      <c r="FG130" s="70" t="n"/>
      <c r="FH130" s="70" t="n"/>
      <c r="FI130" s="70" t="n"/>
      <c r="FJ130" s="70" t="n"/>
      <c r="FK130" s="70" t="n"/>
      <c r="FL130" s="70" t="n"/>
      <c r="FM130" s="70" t="n"/>
      <c r="FN130" s="70" t="n"/>
      <c r="FO130" s="70" t="n"/>
      <c r="FP130" s="70" t="n"/>
      <c r="FQ130" s="70" t="n"/>
      <c r="FR130" s="70" t="n"/>
      <c r="FS130" s="70" t="n"/>
      <c r="FT130" s="70" t="n"/>
      <c r="FU130" s="70" t="n"/>
      <c r="FV130" s="70" t="n"/>
      <c r="FW130" s="70" t="n"/>
      <c r="FX130" s="70" t="n"/>
      <c r="FY130" s="71" t="n"/>
      <c r="FZ130" s="71" t="n"/>
      <c r="GA130" s="71" t="n"/>
    </row>
    <row r="131" ht="13.35" customHeight="1" s="276">
      <c r="A131" s="55">
        <f>A130+1</f>
        <v/>
      </c>
      <c r="B131" s="72" t="inlineStr">
        <is>
          <t>Material de Consumo</t>
        </is>
      </c>
      <c r="C131" s="63">
        <f>D131/65970254</f>
        <v/>
      </c>
      <c r="D131" s="64" t="n">
        <v>180000</v>
      </c>
      <c r="E131" s="65">
        <f>25200000*C131</f>
        <v/>
      </c>
      <c r="F131" s="66">
        <f>D131-E131</f>
        <v/>
      </c>
      <c r="G131" s="64" t="n">
        <v>0</v>
      </c>
      <c r="H131" s="67">
        <f>E131+G131</f>
        <v/>
      </c>
      <c r="I131" s="68" t="n">
        <v>0</v>
      </c>
      <c r="J131" s="69">
        <f>E131+F131+G131+I131</f>
        <v/>
      </c>
      <c r="K131" s="70" t="n"/>
      <c r="L131" s="111" t="n"/>
      <c r="M131" s="111" t="n"/>
      <c r="N131" s="70" t="n"/>
      <c r="O131" s="70" t="n"/>
      <c r="P131" s="70" t="n"/>
      <c r="Q131" s="70" t="n"/>
      <c r="R131" s="70" t="n"/>
      <c r="S131" s="70" t="n"/>
      <c r="T131" s="70" t="n"/>
      <c r="U131" s="70" t="n"/>
      <c r="V131" s="70" t="n"/>
      <c r="W131" s="70" t="n"/>
      <c r="X131" s="70" t="n"/>
      <c r="Y131" s="70" t="n"/>
      <c r="Z131" s="70" t="n"/>
      <c r="AA131" s="70" t="n"/>
      <c r="AB131" s="70" t="n"/>
      <c r="AC131" s="70" t="n"/>
      <c r="AD131" s="70" t="n"/>
      <c r="AE131" s="70" t="n"/>
      <c r="AF131" s="70" t="n"/>
      <c r="AG131" s="70" t="n"/>
      <c r="AH131" s="70" t="n"/>
      <c r="AI131" s="70" t="n"/>
      <c r="AJ131" s="70" t="n"/>
      <c r="AK131" s="70" t="n"/>
      <c r="AL131" s="70" t="n"/>
      <c r="AM131" s="70" t="n"/>
      <c r="AN131" s="70" t="n"/>
      <c r="AO131" s="70" t="n"/>
      <c r="AP131" s="70" t="n"/>
      <c r="AQ131" s="70" t="n"/>
      <c r="AR131" s="70" t="n"/>
      <c r="AS131" s="70" t="n"/>
      <c r="AT131" s="70" t="n"/>
      <c r="AU131" s="70" t="n"/>
      <c r="AV131" s="70" t="n"/>
      <c r="AW131" s="70" t="n"/>
      <c r="AX131" s="70" t="n"/>
      <c r="AY131" s="70" t="n"/>
      <c r="AZ131" s="70" t="n"/>
      <c r="BA131" s="70" t="n"/>
      <c r="BB131" s="70" t="n"/>
      <c r="BC131" s="70" t="n"/>
      <c r="BD131" s="70" t="n"/>
      <c r="BE131" s="70" t="n"/>
      <c r="BF131" s="70" t="n"/>
      <c r="BG131" s="70" t="n"/>
      <c r="BH131" s="70" t="n"/>
      <c r="BI131" s="70" t="n"/>
      <c r="BJ131" s="70" t="n"/>
      <c r="BK131" s="70" t="n"/>
      <c r="BL131" s="70" t="n"/>
      <c r="BM131" s="70" t="n"/>
      <c r="BN131" s="70" t="n"/>
      <c r="BO131" s="70" t="n"/>
      <c r="BP131" s="70" t="n"/>
      <c r="BQ131" s="70" t="n"/>
      <c r="BR131" s="70" t="n"/>
      <c r="BS131" s="70" t="n"/>
      <c r="BT131" s="70" t="n"/>
      <c r="BU131" s="70" t="n"/>
      <c r="BV131" s="70" t="n"/>
      <c r="BW131" s="70" t="n"/>
      <c r="BX131" s="70" t="n"/>
      <c r="BY131" s="70" t="n"/>
      <c r="BZ131" s="70" t="n"/>
      <c r="CA131" s="70" t="n"/>
      <c r="CB131" s="70" t="n"/>
      <c r="CC131" s="70" t="n"/>
      <c r="CD131" s="70" t="n"/>
      <c r="CE131" s="70" t="n"/>
      <c r="CF131" s="70" t="n"/>
      <c r="CG131" s="70" t="n"/>
      <c r="CH131" s="70" t="n"/>
      <c r="CI131" s="70" t="n"/>
      <c r="CJ131" s="70" t="n"/>
      <c r="CK131" s="70" t="n"/>
      <c r="CL131" s="70" t="n"/>
      <c r="CM131" s="70" t="n"/>
      <c r="CN131" s="70" t="n"/>
      <c r="CO131" s="70" t="n"/>
      <c r="CP131" s="70" t="n"/>
      <c r="CQ131" s="70" t="n"/>
      <c r="CR131" s="70" t="n"/>
      <c r="CS131" s="70" t="n"/>
      <c r="CT131" s="70" t="n"/>
      <c r="CU131" s="70" t="n"/>
      <c r="CV131" s="70" t="n"/>
      <c r="CW131" s="70" t="n"/>
      <c r="CX131" s="70" t="n"/>
      <c r="CY131" s="70" t="n"/>
      <c r="CZ131" s="70" t="n"/>
      <c r="DA131" s="70" t="n"/>
      <c r="DB131" s="70" t="n"/>
      <c r="DC131" s="70" t="n"/>
      <c r="DD131" s="70" t="n"/>
      <c r="DE131" s="70" t="n"/>
      <c r="DF131" s="70" t="n"/>
      <c r="DG131" s="70" t="n"/>
      <c r="DH131" s="70" t="n"/>
      <c r="DI131" s="70" t="n"/>
      <c r="DJ131" s="70" t="n"/>
      <c r="DK131" s="70" t="n"/>
      <c r="DL131" s="70" t="n"/>
      <c r="DM131" s="70" t="n"/>
      <c r="DN131" s="70" t="n"/>
      <c r="DO131" s="70" t="n"/>
      <c r="DP131" s="70" t="n"/>
      <c r="DQ131" s="70" t="n"/>
      <c r="DR131" s="70" t="n"/>
      <c r="DS131" s="70" t="n"/>
      <c r="DT131" s="70" t="n"/>
      <c r="DU131" s="70" t="n"/>
      <c r="DV131" s="70" t="n"/>
      <c r="DW131" s="70" t="n"/>
      <c r="DX131" s="70" t="n"/>
      <c r="DY131" s="70" t="n"/>
      <c r="DZ131" s="70" t="n"/>
      <c r="EA131" s="70" t="n"/>
      <c r="EB131" s="70" t="n"/>
      <c r="EC131" s="70" t="n"/>
      <c r="ED131" s="70" t="n"/>
      <c r="EE131" s="70" t="n"/>
      <c r="EF131" s="70" t="n"/>
      <c r="EG131" s="70" t="n"/>
      <c r="EH131" s="70" t="n"/>
      <c r="EI131" s="70" t="n"/>
      <c r="EJ131" s="70" t="n"/>
      <c r="EK131" s="70" t="n"/>
      <c r="EL131" s="70" t="n"/>
      <c r="EM131" s="70" t="n"/>
      <c r="EN131" s="70" t="n"/>
      <c r="EO131" s="70" t="n"/>
      <c r="EP131" s="70" t="n"/>
      <c r="EQ131" s="70" t="n"/>
      <c r="ER131" s="70" t="n"/>
      <c r="ES131" s="70" t="n"/>
      <c r="ET131" s="70" t="n"/>
      <c r="EU131" s="70" t="n"/>
      <c r="EV131" s="70" t="n"/>
      <c r="EW131" s="70" t="n"/>
      <c r="EX131" s="70" t="n"/>
      <c r="EY131" s="70" t="n"/>
      <c r="EZ131" s="70" t="n"/>
      <c r="FA131" s="70" t="n"/>
      <c r="FB131" s="70" t="n"/>
      <c r="FC131" s="70" t="n"/>
      <c r="FD131" s="70" t="n"/>
      <c r="FE131" s="70" t="n"/>
      <c r="FF131" s="70" t="n"/>
      <c r="FG131" s="70" t="n"/>
      <c r="FH131" s="70" t="n"/>
      <c r="FI131" s="70" t="n"/>
      <c r="FJ131" s="70" t="n"/>
      <c r="FK131" s="70" t="n"/>
      <c r="FL131" s="70" t="n"/>
      <c r="FM131" s="70" t="n"/>
      <c r="FN131" s="70" t="n"/>
      <c r="FO131" s="70" t="n"/>
      <c r="FP131" s="70" t="n"/>
      <c r="FQ131" s="70" t="n"/>
      <c r="FR131" s="70" t="n"/>
      <c r="FS131" s="70" t="n"/>
      <c r="FT131" s="70" t="n"/>
      <c r="FU131" s="70" t="n"/>
      <c r="FV131" s="70" t="n"/>
      <c r="FW131" s="70" t="n"/>
      <c r="FX131" s="70" t="n"/>
      <c r="FY131" s="71" t="n"/>
      <c r="FZ131" s="71" t="n"/>
      <c r="GA131" s="71" t="n"/>
    </row>
    <row r="132" ht="13.35" customHeight="1" s="276">
      <c r="A132" s="55">
        <f>A131+1</f>
        <v/>
      </c>
      <c r="B132" s="72" t="inlineStr">
        <is>
          <t>Equipe Técnica</t>
        </is>
      </c>
      <c r="C132" s="63">
        <f>D132/65970254</f>
        <v/>
      </c>
      <c r="D132" s="64" t="n">
        <v>38271908.54</v>
      </c>
      <c r="E132" s="65">
        <f>25200000*C132</f>
        <v/>
      </c>
      <c r="F132" s="66">
        <f>D132-E132</f>
        <v/>
      </c>
      <c r="G132" s="64" t="n">
        <v>0</v>
      </c>
      <c r="H132" s="67">
        <f>E132+G132</f>
        <v/>
      </c>
      <c r="I132" s="68" t="n">
        <v>0</v>
      </c>
      <c r="J132" s="69">
        <f>E132+F132+G132+I132</f>
        <v/>
      </c>
      <c r="K132" s="70" t="n"/>
      <c r="L132" s="112" t="n"/>
      <c r="M132" s="112" t="n"/>
      <c r="N132" s="70" t="n"/>
      <c r="O132" s="70" t="n"/>
      <c r="P132" s="70" t="n"/>
      <c r="Q132" s="70" t="n"/>
      <c r="R132" s="70" t="n"/>
      <c r="S132" s="70" t="n"/>
      <c r="T132" s="70" t="n"/>
      <c r="U132" s="70" t="n"/>
      <c r="V132" s="70" t="n"/>
      <c r="W132" s="70" t="n"/>
      <c r="X132" s="70" t="n"/>
      <c r="Y132" s="70" t="n"/>
      <c r="Z132" s="70" t="n"/>
      <c r="AA132" s="70" t="n"/>
      <c r="AB132" s="70" t="n"/>
      <c r="AC132" s="70" t="n"/>
      <c r="AD132" s="70" t="n"/>
      <c r="AE132" s="70" t="n"/>
      <c r="AF132" s="70" t="n"/>
      <c r="AG132" s="70" t="n"/>
      <c r="AH132" s="70" t="n"/>
      <c r="AI132" s="70" t="n"/>
      <c r="AJ132" s="70" t="n"/>
      <c r="AK132" s="70" t="n"/>
      <c r="AL132" s="70" t="n"/>
      <c r="AM132" s="70" t="n"/>
      <c r="AN132" s="70" t="n"/>
      <c r="AO132" s="70" t="n"/>
      <c r="AP132" s="70" t="n"/>
      <c r="AQ132" s="70" t="n"/>
      <c r="AR132" s="70" t="n"/>
      <c r="AS132" s="70" t="n"/>
      <c r="AT132" s="70" t="n"/>
      <c r="AU132" s="70" t="n"/>
      <c r="AV132" s="70" t="n"/>
      <c r="AW132" s="70" t="n"/>
      <c r="AX132" s="70" t="n"/>
      <c r="AY132" s="70" t="n"/>
      <c r="AZ132" s="70" t="n"/>
      <c r="BA132" s="70" t="n"/>
      <c r="BB132" s="70" t="n"/>
      <c r="BC132" s="70" t="n"/>
      <c r="BD132" s="70" t="n"/>
      <c r="BE132" s="70" t="n"/>
      <c r="BF132" s="70" t="n"/>
      <c r="BG132" s="70" t="n"/>
      <c r="BH132" s="70" t="n"/>
      <c r="BI132" s="70" t="n"/>
      <c r="BJ132" s="70" t="n"/>
      <c r="BK132" s="70" t="n"/>
      <c r="BL132" s="70" t="n"/>
      <c r="BM132" s="70" t="n"/>
      <c r="BN132" s="70" t="n"/>
      <c r="BO132" s="70" t="n"/>
      <c r="BP132" s="70" t="n"/>
      <c r="BQ132" s="70" t="n"/>
      <c r="BR132" s="70" t="n"/>
      <c r="BS132" s="70" t="n"/>
      <c r="BT132" s="70" t="n"/>
      <c r="BU132" s="70" t="n"/>
      <c r="BV132" s="70" t="n"/>
      <c r="BW132" s="70" t="n"/>
      <c r="BX132" s="70" t="n"/>
      <c r="BY132" s="70" t="n"/>
      <c r="BZ132" s="70" t="n"/>
      <c r="CA132" s="70" t="n"/>
      <c r="CB132" s="70" t="n"/>
      <c r="CC132" s="70" t="n"/>
      <c r="CD132" s="70" t="n"/>
      <c r="CE132" s="70" t="n"/>
      <c r="CF132" s="70" t="n"/>
      <c r="CG132" s="70" t="n"/>
      <c r="CH132" s="70" t="n"/>
      <c r="CI132" s="70" t="n"/>
      <c r="CJ132" s="70" t="n"/>
      <c r="CK132" s="70" t="n"/>
      <c r="CL132" s="70" t="n"/>
      <c r="CM132" s="70" t="n"/>
      <c r="CN132" s="70" t="n"/>
      <c r="CO132" s="70" t="n"/>
      <c r="CP132" s="70" t="n"/>
      <c r="CQ132" s="70" t="n"/>
      <c r="CR132" s="70" t="n"/>
      <c r="CS132" s="70" t="n"/>
      <c r="CT132" s="70" t="n"/>
      <c r="CU132" s="70" t="n"/>
      <c r="CV132" s="70" t="n"/>
      <c r="CW132" s="70" t="n"/>
      <c r="CX132" s="70" t="n"/>
      <c r="CY132" s="70" t="n"/>
      <c r="CZ132" s="70" t="n"/>
      <c r="DA132" s="70" t="n"/>
      <c r="DB132" s="70" t="n"/>
      <c r="DC132" s="70" t="n"/>
      <c r="DD132" s="70" t="n"/>
      <c r="DE132" s="70" t="n"/>
      <c r="DF132" s="70" t="n"/>
      <c r="DG132" s="70" t="n"/>
      <c r="DH132" s="70" t="n"/>
      <c r="DI132" s="70" t="n"/>
      <c r="DJ132" s="70" t="n"/>
      <c r="DK132" s="70" t="n"/>
      <c r="DL132" s="70" t="n"/>
      <c r="DM132" s="70" t="n"/>
      <c r="DN132" s="70" t="n"/>
      <c r="DO132" s="70" t="n"/>
      <c r="DP132" s="70" t="n"/>
      <c r="DQ132" s="70" t="n"/>
      <c r="DR132" s="70" t="n"/>
      <c r="DS132" s="70" t="n"/>
      <c r="DT132" s="70" t="n"/>
      <c r="DU132" s="70" t="n"/>
      <c r="DV132" s="70" t="n"/>
      <c r="DW132" s="70" t="n"/>
      <c r="DX132" s="70" t="n"/>
      <c r="DY132" s="70" t="n"/>
      <c r="DZ132" s="70" t="n"/>
      <c r="EA132" s="70" t="n"/>
      <c r="EB132" s="70" t="n"/>
      <c r="EC132" s="70" t="n"/>
      <c r="ED132" s="70" t="n"/>
      <c r="EE132" s="70" t="n"/>
      <c r="EF132" s="70" t="n"/>
      <c r="EG132" s="70" t="n"/>
      <c r="EH132" s="70" t="n"/>
      <c r="EI132" s="70" t="n"/>
      <c r="EJ132" s="70" t="n"/>
      <c r="EK132" s="70" t="n"/>
      <c r="EL132" s="70" t="n"/>
      <c r="EM132" s="70" t="n"/>
      <c r="EN132" s="70" t="n"/>
      <c r="EO132" s="70" t="n"/>
      <c r="EP132" s="70" t="n"/>
      <c r="EQ132" s="70" t="n"/>
      <c r="ER132" s="70" t="n"/>
      <c r="ES132" s="70" t="n"/>
      <c r="ET132" s="70" t="n"/>
      <c r="EU132" s="70" t="n"/>
      <c r="EV132" s="70" t="n"/>
      <c r="EW132" s="70" t="n"/>
      <c r="EX132" s="70" t="n"/>
      <c r="EY132" s="70" t="n"/>
      <c r="EZ132" s="70" t="n"/>
      <c r="FA132" s="70" t="n"/>
      <c r="FB132" s="70" t="n"/>
      <c r="FC132" s="70" t="n"/>
      <c r="FD132" s="70" t="n"/>
      <c r="FE132" s="70" t="n"/>
      <c r="FF132" s="70" t="n"/>
      <c r="FG132" s="70" t="n"/>
      <c r="FH132" s="70" t="n"/>
      <c r="FI132" s="70" t="n"/>
      <c r="FJ132" s="70" t="n"/>
      <c r="FK132" s="70" t="n"/>
      <c r="FL132" s="70" t="n"/>
      <c r="FM132" s="70" t="n"/>
      <c r="FN132" s="70" t="n"/>
      <c r="FO132" s="70" t="n"/>
      <c r="FP132" s="70" t="n"/>
      <c r="FQ132" s="70" t="n"/>
      <c r="FR132" s="70" t="n"/>
      <c r="FS132" s="70" t="n"/>
      <c r="FT132" s="70" t="n"/>
      <c r="FU132" s="70" t="n"/>
      <c r="FV132" s="70" t="n"/>
      <c r="FW132" s="70" t="n"/>
      <c r="FX132" s="70" t="n"/>
      <c r="FY132" s="71" t="n"/>
      <c r="FZ132" s="71" t="n"/>
      <c r="GA132" s="71" t="n"/>
    </row>
    <row r="133" ht="13.35" customHeight="1" s="276">
      <c r="A133" s="55">
        <f>A132+1</f>
        <v/>
      </c>
      <c r="B133" s="72" t="inlineStr">
        <is>
          <t>Serviço de Terceiros</t>
        </is>
      </c>
      <c r="C133" s="63">
        <f>D133/65970254</f>
        <v/>
      </c>
      <c r="D133" s="64" t="n">
        <v>16378524</v>
      </c>
      <c r="E133" s="65">
        <f>25200000*C133</f>
        <v/>
      </c>
      <c r="F133" s="66">
        <f>D133-E133</f>
        <v/>
      </c>
      <c r="G133" s="64" t="n">
        <v>-4604638.420000001</v>
      </c>
      <c r="H133" s="67">
        <f>E133+G133</f>
        <v/>
      </c>
      <c r="I133" s="68" t="n">
        <v>0</v>
      </c>
      <c r="J133" s="69">
        <f>E133+F133+G133+I133</f>
        <v/>
      </c>
      <c r="K133" s="70" t="n"/>
      <c r="L133" s="109" t="n"/>
      <c r="M133" s="386" t="n"/>
      <c r="N133" s="70" t="n"/>
      <c r="O133" s="70" t="n"/>
      <c r="P133" s="70" t="n"/>
      <c r="Q133" s="70" t="n"/>
      <c r="R133" s="70" t="n"/>
      <c r="S133" s="70" t="n"/>
      <c r="T133" s="70" t="n"/>
      <c r="U133" s="70" t="n"/>
      <c r="V133" s="70" t="n"/>
      <c r="W133" s="70" t="n"/>
      <c r="X133" s="70" t="n"/>
      <c r="Y133" s="70" t="n"/>
      <c r="Z133" s="70" t="n"/>
      <c r="AA133" s="70" t="n"/>
      <c r="AB133" s="70" t="n"/>
      <c r="AC133" s="70" t="n"/>
      <c r="AD133" s="70" t="n"/>
      <c r="AE133" s="70" t="n"/>
      <c r="AF133" s="70" t="n"/>
      <c r="AG133" s="70" t="n"/>
      <c r="AH133" s="70" t="n"/>
      <c r="AI133" s="70" t="n"/>
      <c r="AJ133" s="70" t="n"/>
      <c r="AK133" s="70" t="n"/>
      <c r="AL133" s="70" t="n"/>
      <c r="AM133" s="70" t="n"/>
      <c r="AN133" s="70" t="n"/>
      <c r="AO133" s="70" t="n"/>
      <c r="AP133" s="70" t="n"/>
      <c r="AQ133" s="70" t="n"/>
      <c r="AR133" s="70" t="n"/>
      <c r="AS133" s="70" t="n"/>
      <c r="AT133" s="70" t="n"/>
      <c r="AU133" s="70" t="n"/>
      <c r="AV133" s="70" t="n"/>
      <c r="AW133" s="70" t="n"/>
      <c r="AX133" s="70" t="n"/>
      <c r="AY133" s="70" t="n"/>
      <c r="AZ133" s="70" t="n"/>
      <c r="BA133" s="70" t="n"/>
      <c r="BB133" s="70" t="n"/>
      <c r="BC133" s="70" t="n"/>
      <c r="BD133" s="70" t="n"/>
      <c r="BE133" s="70" t="n"/>
      <c r="BF133" s="70" t="n"/>
      <c r="BG133" s="70" t="n"/>
      <c r="BH133" s="70" t="n"/>
      <c r="BI133" s="70" t="n"/>
      <c r="BJ133" s="70" t="n"/>
      <c r="BK133" s="70" t="n"/>
      <c r="BL133" s="70" t="n"/>
      <c r="BM133" s="70" t="n"/>
      <c r="BN133" s="70" t="n"/>
      <c r="BO133" s="70" t="n"/>
      <c r="BP133" s="70" t="n"/>
      <c r="BQ133" s="70" t="n"/>
      <c r="BR133" s="70" t="n"/>
      <c r="BS133" s="70" t="n"/>
      <c r="BT133" s="70" t="n"/>
      <c r="BU133" s="70" t="n"/>
      <c r="BV133" s="70" t="n"/>
      <c r="BW133" s="70" t="n"/>
      <c r="BX133" s="70" t="n"/>
      <c r="BY133" s="70" t="n"/>
      <c r="BZ133" s="70" t="n"/>
      <c r="CA133" s="70" t="n"/>
      <c r="CB133" s="70" t="n"/>
      <c r="CC133" s="70" t="n"/>
      <c r="CD133" s="70" t="n"/>
      <c r="CE133" s="70" t="n"/>
      <c r="CF133" s="70" t="n"/>
      <c r="CG133" s="70" t="n"/>
      <c r="CH133" s="70" t="n"/>
      <c r="CI133" s="70" t="n"/>
      <c r="CJ133" s="70" t="n"/>
      <c r="CK133" s="70" t="n"/>
      <c r="CL133" s="70" t="n"/>
      <c r="CM133" s="70" t="n"/>
      <c r="CN133" s="70" t="n"/>
      <c r="CO133" s="70" t="n"/>
      <c r="CP133" s="70" t="n"/>
      <c r="CQ133" s="70" t="n"/>
      <c r="CR133" s="70" t="n"/>
      <c r="CS133" s="70" t="n"/>
      <c r="CT133" s="70" t="n"/>
      <c r="CU133" s="70" t="n"/>
      <c r="CV133" s="70" t="n"/>
      <c r="CW133" s="70" t="n"/>
      <c r="CX133" s="70" t="n"/>
      <c r="CY133" s="70" t="n"/>
      <c r="CZ133" s="70" t="n"/>
      <c r="DA133" s="70" t="n"/>
      <c r="DB133" s="70" t="n"/>
      <c r="DC133" s="70" t="n"/>
      <c r="DD133" s="70" t="n"/>
      <c r="DE133" s="70" t="n"/>
      <c r="DF133" s="70" t="n"/>
      <c r="DG133" s="70" t="n"/>
      <c r="DH133" s="70" t="n"/>
      <c r="DI133" s="70" t="n"/>
      <c r="DJ133" s="70" t="n"/>
      <c r="DK133" s="70" t="n"/>
      <c r="DL133" s="70" t="n"/>
      <c r="DM133" s="70" t="n"/>
      <c r="DN133" s="70" t="n"/>
      <c r="DO133" s="70" t="n"/>
      <c r="DP133" s="70" t="n"/>
      <c r="DQ133" s="70" t="n"/>
      <c r="DR133" s="70" t="n"/>
      <c r="DS133" s="70" t="n"/>
      <c r="DT133" s="70" t="n"/>
      <c r="DU133" s="70" t="n"/>
      <c r="DV133" s="70" t="n"/>
      <c r="DW133" s="70" t="n"/>
      <c r="DX133" s="70" t="n"/>
      <c r="DY133" s="70" t="n"/>
      <c r="DZ133" s="70" t="n"/>
      <c r="EA133" s="70" t="n"/>
      <c r="EB133" s="70" t="n"/>
      <c r="EC133" s="70" t="n"/>
      <c r="ED133" s="70" t="n"/>
      <c r="EE133" s="70" t="n"/>
      <c r="EF133" s="70" t="n"/>
      <c r="EG133" s="70" t="n"/>
      <c r="EH133" s="70" t="n"/>
      <c r="EI133" s="70" t="n"/>
      <c r="EJ133" s="70" t="n"/>
      <c r="EK133" s="70" t="n"/>
      <c r="EL133" s="70" t="n"/>
      <c r="EM133" s="70" t="n"/>
      <c r="EN133" s="70" t="n"/>
      <c r="EO133" s="70" t="n"/>
      <c r="EP133" s="70" t="n"/>
      <c r="EQ133" s="70" t="n"/>
      <c r="ER133" s="70" t="n"/>
      <c r="ES133" s="70" t="n"/>
      <c r="ET133" s="70" t="n"/>
      <c r="EU133" s="70" t="n"/>
      <c r="EV133" s="70" t="n"/>
      <c r="EW133" s="70" t="n"/>
      <c r="EX133" s="70" t="n"/>
      <c r="EY133" s="70" t="n"/>
      <c r="EZ133" s="70" t="n"/>
      <c r="FA133" s="70" t="n"/>
      <c r="FB133" s="70" t="n"/>
      <c r="FC133" s="70" t="n"/>
      <c r="FD133" s="70" t="n"/>
      <c r="FE133" s="70" t="n"/>
      <c r="FF133" s="70" t="n"/>
      <c r="FG133" s="70" t="n"/>
      <c r="FH133" s="70" t="n"/>
      <c r="FI133" s="70" t="n"/>
      <c r="FJ133" s="70" t="n"/>
      <c r="FK133" s="70" t="n"/>
      <c r="FL133" s="70" t="n"/>
      <c r="FM133" s="70" t="n"/>
      <c r="FN133" s="70" t="n"/>
      <c r="FO133" s="70" t="n"/>
      <c r="FP133" s="70" t="n"/>
      <c r="FQ133" s="70" t="n"/>
      <c r="FR133" s="70" t="n"/>
      <c r="FS133" s="70" t="n"/>
      <c r="FT133" s="70" t="n"/>
      <c r="FU133" s="70" t="n"/>
      <c r="FV133" s="70" t="n"/>
      <c r="FW133" s="70" t="n"/>
      <c r="FX133" s="70" t="n"/>
      <c r="FY133" s="71" t="n"/>
      <c r="FZ133" s="71" t="n"/>
      <c r="GA133" s="71" t="n"/>
    </row>
    <row r="134" ht="13.35" customHeight="1" s="276">
      <c r="A134" s="55">
        <f>A133+1</f>
        <v/>
      </c>
      <c r="B134" s="72" t="inlineStr">
        <is>
          <t>FAPEU</t>
        </is>
      </c>
      <c r="C134" s="63">
        <f>D134/65970254</f>
        <v/>
      </c>
      <c r="D134" s="64" t="n">
        <v>4980754.18</v>
      </c>
      <c r="E134" s="65">
        <f>25200000*C134</f>
        <v/>
      </c>
      <c r="F134" s="66">
        <f>D134-E134</f>
        <v/>
      </c>
      <c r="G134" s="64">
        <f>-25200000*7.55%</f>
        <v/>
      </c>
      <c r="H134" s="67">
        <f>E134+G134</f>
        <v/>
      </c>
      <c r="I134" s="68" t="n">
        <v>0</v>
      </c>
      <c r="J134" s="69">
        <f>E134+F134+G134+I134</f>
        <v/>
      </c>
      <c r="K134" s="70" t="n"/>
      <c r="L134" s="109" t="n"/>
      <c r="M134" s="110" t="n"/>
      <c r="N134" s="70" t="n"/>
      <c r="O134" s="70" t="n"/>
      <c r="P134" s="70" t="n"/>
      <c r="Q134" s="70" t="n"/>
      <c r="R134" s="70" t="n"/>
      <c r="S134" s="70" t="n"/>
      <c r="T134" s="70" t="n"/>
      <c r="U134" s="70" t="n"/>
      <c r="V134" s="70" t="n"/>
      <c r="W134" s="70" t="n"/>
      <c r="X134" s="70" t="n"/>
      <c r="Y134" s="70" t="n"/>
      <c r="Z134" s="70" t="n"/>
      <c r="AA134" s="70" t="n"/>
      <c r="AB134" s="70" t="n"/>
      <c r="AC134" s="70" t="n"/>
      <c r="AD134" s="70" t="n"/>
      <c r="AE134" s="70" t="n"/>
      <c r="AF134" s="70" t="n"/>
      <c r="AG134" s="70" t="n"/>
      <c r="AH134" s="70" t="n"/>
      <c r="AI134" s="70" t="n"/>
      <c r="AJ134" s="70" t="n"/>
      <c r="AK134" s="70" t="n"/>
      <c r="AL134" s="70" t="n"/>
      <c r="AM134" s="70" t="n"/>
      <c r="AN134" s="70" t="n"/>
      <c r="AO134" s="70" t="n"/>
      <c r="AP134" s="70" t="n"/>
      <c r="AQ134" s="70" t="n"/>
      <c r="AR134" s="70" t="n"/>
      <c r="AS134" s="70" t="n"/>
      <c r="AT134" s="70" t="n"/>
      <c r="AU134" s="70" t="n"/>
      <c r="AV134" s="70" t="n"/>
      <c r="AW134" s="70" t="n"/>
      <c r="AX134" s="70" t="n"/>
      <c r="AY134" s="70" t="n"/>
      <c r="AZ134" s="70" t="n"/>
      <c r="BA134" s="70" t="n"/>
      <c r="BB134" s="70" t="n"/>
      <c r="BC134" s="70" t="n"/>
      <c r="BD134" s="70" t="n"/>
      <c r="BE134" s="70" t="n"/>
      <c r="BF134" s="70" t="n"/>
      <c r="BG134" s="70" t="n"/>
      <c r="BH134" s="70" t="n"/>
      <c r="BI134" s="70" t="n"/>
      <c r="BJ134" s="70" t="n"/>
      <c r="BK134" s="70" t="n"/>
      <c r="BL134" s="70" t="n"/>
      <c r="BM134" s="70" t="n"/>
      <c r="BN134" s="70" t="n"/>
      <c r="BO134" s="70" t="n"/>
      <c r="BP134" s="70" t="n"/>
      <c r="BQ134" s="70" t="n"/>
      <c r="BR134" s="70" t="n"/>
      <c r="BS134" s="70" t="n"/>
      <c r="BT134" s="70" t="n"/>
      <c r="BU134" s="70" t="n"/>
      <c r="BV134" s="70" t="n"/>
      <c r="BW134" s="70" t="n"/>
      <c r="BX134" s="70" t="n"/>
      <c r="BY134" s="70" t="n"/>
      <c r="BZ134" s="70" t="n"/>
      <c r="CA134" s="70" t="n"/>
      <c r="CB134" s="70" t="n"/>
      <c r="CC134" s="70" t="n"/>
      <c r="CD134" s="70" t="n"/>
      <c r="CE134" s="70" t="n"/>
      <c r="CF134" s="70" t="n"/>
      <c r="CG134" s="70" t="n"/>
      <c r="CH134" s="70" t="n"/>
      <c r="CI134" s="70" t="n"/>
      <c r="CJ134" s="70" t="n"/>
      <c r="CK134" s="70" t="n"/>
      <c r="CL134" s="70" t="n"/>
      <c r="CM134" s="70" t="n"/>
      <c r="CN134" s="70" t="n"/>
      <c r="CO134" s="70" t="n"/>
      <c r="CP134" s="70" t="n"/>
      <c r="CQ134" s="70" t="n"/>
      <c r="CR134" s="70" t="n"/>
      <c r="CS134" s="70" t="n"/>
      <c r="CT134" s="70" t="n"/>
      <c r="CU134" s="70" t="n"/>
      <c r="CV134" s="70" t="n"/>
      <c r="CW134" s="70" t="n"/>
      <c r="CX134" s="70" t="n"/>
      <c r="CY134" s="70" t="n"/>
      <c r="CZ134" s="70" t="n"/>
      <c r="DA134" s="70" t="n"/>
      <c r="DB134" s="70" t="n"/>
      <c r="DC134" s="70" t="n"/>
      <c r="DD134" s="70" t="n"/>
      <c r="DE134" s="70" t="n"/>
      <c r="DF134" s="70" t="n"/>
      <c r="DG134" s="70" t="n"/>
      <c r="DH134" s="70" t="n"/>
      <c r="DI134" s="70" t="n"/>
      <c r="DJ134" s="70" t="n"/>
      <c r="DK134" s="70" t="n"/>
      <c r="DL134" s="70" t="n"/>
      <c r="DM134" s="70" t="n"/>
      <c r="DN134" s="70" t="n"/>
      <c r="DO134" s="70" t="n"/>
      <c r="DP134" s="70" t="n"/>
      <c r="DQ134" s="70" t="n"/>
      <c r="DR134" s="70" t="n"/>
      <c r="DS134" s="70" t="n"/>
      <c r="DT134" s="70" t="n"/>
      <c r="DU134" s="70" t="n"/>
      <c r="DV134" s="70" t="n"/>
      <c r="DW134" s="70" t="n"/>
      <c r="DX134" s="70" t="n"/>
      <c r="DY134" s="70" t="n"/>
      <c r="DZ134" s="70" t="n"/>
      <c r="EA134" s="70" t="n"/>
      <c r="EB134" s="70" t="n"/>
      <c r="EC134" s="70" t="n"/>
      <c r="ED134" s="70" t="n"/>
      <c r="EE134" s="70" t="n"/>
      <c r="EF134" s="70" t="n"/>
      <c r="EG134" s="70" t="n"/>
      <c r="EH134" s="70" t="n"/>
      <c r="EI134" s="70" t="n"/>
      <c r="EJ134" s="70" t="n"/>
      <c r="EK134" s="70" t="n"/>
      <c r="EL134" s="70" t="n"/>
      <c r="EM134" s="70" t="n"/>
      <c r="EN134" s="70" t="n"/>
      <c r="EO134" s="70" t="n"/>
      <c r="EP134" s="70" t="n"/>
      <c r="EQ134" s="70" t="n"/>
      <c r="ER134" s="70" t="n"/>
      <c r="ES134" s="70" t="n"/>
      <c r="ET134" s="70" t="n"/>
      <c r="EU134" s="70" t="n"/>
      <c r="EV134" s="70" t="n"/>
      <c r="EW134" s="70" t="n"/>
      <c r="EX134" s="70" t="n"/>
      <c r="EY134" s="70" t="n"/>
      <c r="EZ134" s="70" t="n"/>
      <c r="FA134" s="70" t="n"/>
      <c r="FB134" s="70" t="n"/>
      <c r="FC134" s="70" t="n"/>
      <c r="FD134" s="70" t="n"/>
      <c r="FE134" s="70" t="n"/>
      <c r="FF134" s="70" t="n"/>
      <c r="FG134" s="70" t="n"/>
      <c r="FH134" s="70" t="n"/>
      <c r="FI134" s="70" t="n"/>
      <c r="FJ134" s="70" t="n"/>
      <c r="FK134" s="70" t="n"/>
      <c r="FL134" s="70" t="n"/>
      <c r="FM134" s="70" t="n"/>
      <c r="FN134" s="70" t="n"/>
      <c r="FO134" s="70" t="n"/>
      <c r="FP134" s="70" t="n"/>
      <c r="FQ134" s="70" t="n"/>
      <c r="FR134" s="70" t="n"/>
      <c r="FS134" s="70" t="n"/>
      <c r="FT134" s="70" t="n"/>
      <c r="FU134" s="70" t="n"/>
      <c r="FV134" s="70" t="n"/>
      <c r="FW134" s="70" t="n"/>
      <c r="FX134" s="70" t="n"/>
      <c r="FY134" s="71" t="n"/>
      <c r="FZ134" s="71" t="n"/>
      <c r="GA134" s="71" t="n"/>
    </row>
    <row r="135" ht="13.35" customHeight="1" s="276">
      <c r="A135" s="55">
        <f>A134+1</f>
        <v/>
      </c>
      <c r="B135" s="72" t="inlineStr">
        <is>
          <t>UFSC</t>
        </is>
      </c>
      <c r="C135" s="63">
        <f>D135/65970254</f>
        <v/>
      </c>
      <c r="D135" s="64" t="n">
        <v>4617917.78</v>
      </c>
      <c r="E135" s="65">
        <f>25200000*C135</f>
        <v/>
      </c>
      <c r="F135" s="66">
        <f>D135-E135</f>
        <v/>
      </c>
      <c r="G135" s="64">
        <f>-25200000*0.07</f>
        <v/>
      </c>
      <c r="H135" s="67">
        <f>E135+G135</f>
        <v/>
      </c>
      <c r="I135" s="68">
        <f>-BH124</f>
        <v/>
      </c>
      <c r="J135" s="69">
        <f>E135+F135+G135+I135</f>
        <v/>
      </c>
      <c r="K135" s="70" t="n"/>
      <c r="L135" s="109" t="n"/>
      <c r="M135" s="386" t="n"/>
      <c r="N135" s="70" t="n"/>
      <c r="O135" s="70" t="n"/>
      <c r="P135" s="70" t="n"/>
      <c r="Q135" s="70" t="n"/>
      <c r="R135" s="70" t="n"/>
      <c r="S135" s="70" t="n"/>
      <c r="T135" s="70" t="n"/>
      <c r="U135" s="70" t="n"/>
      <c r="V135" s="70" t="n"/>
      <c r="W135" s="70" t="n"/>
      <c r="X135" s="70" t="n"/>
      <c r="Y135" s="70" t="n"/>
      <c r="Z135" s="70" t="n"/>
      <c r="AA135" s="70" t="n"/>
      <c r="AB135" s="70" t="n"/>
      <c r="AC135" s="70" t="n"/>
      <c r="AD135" s="70" t="n"/>
      <c r="AE135" s="70" t="n"/>
      <c r="AF135" s="70" t="n"/>
      <c r="AG135" s="70" t="n"/>
      <c r="AH135" s="70" t="n"/>
      <c r="AI135" s="70" t="n"/>
      <c r="AJ135" s="70" t="n"/>
      <c r="AK135" s="70" t="n"/>
      <c r="AL135" s="70" t="n"/>
      <c r="AM135" s="70" t="n"/>
      <c r="AN135" s="70" t="n"/>
      <c r="AO135" s="70" t="n"/>
      <c r="AP135" s="70" t="n"/>
      <c r="AQ135" s="70" t="n"/>
      <c r="AR135" s="70" t="n"/>
      <c r="AS135" s="70" t="n"/>
      <c r="AT135" s="70" t="n"/>
      <c r="AU135" s="70" t="n"/>
      <c r="AV135" s="70" t="n"/>
      <c r="AW135" s="70" t="n"/>
      <c r="AX135" s="70" t="n"/>
      <c r="AY135" s="70" t="n"/>
      <c r="AZ135" s="70" t="n"/>
      <c r="BA135" s="70" t="n"/>
      <c r="BB135" s="70" t="n"/>
      <c r="BC135" s="70" t="n"/>
      <c r="BD135" s="70" t="n"/>
      <c r="BE135" s="70" t="n"/>
      <c r="BF135" s="70" t="n"/>
      <c r="BG135" s="70" t="n"/>
      <c r="BH135" s="70" t="n"/>
      <c r="BI135" s="70" t="n"/>
      <c r="BJ135" s="70" t="n"/>
      <c r="BK135" s="70" t="n"/>
      <c r="BL135" s="70" t="n"/>
      <c r="BM135" s="70" t="n"/>
      <c r="BN135" s="70" t="n"/>
      <c r="BO135" s="70" t="n"/>
      <c r="BP135" s="70" t="n"/>
      <c r="BQ135" s="70" t="n"/>
      <c r="BR135" s="70" t="n"/>
      <c r="BS135" s="70" t="n"/>
      <c r="BT135" s="70" t="n"/>
      <c r="BU135" s="70" t="n"/>
      <c r="BV135" s="70" t="n"/>
      <c r="BW135" s="70" t="n"/>
      <c r="BX135" s="70" t="n"/>
      <c r="BY135" s="70" t="n"/>
      <c r="BZ135" s="70" t="n"/>
      <c r="CA135" s="70" t="n"/>
      <c r="CB135" s="70" t="n"/>
      <c r="CC135" s="70" t="n"/>
      <c r="CD135" s="70" t="n"/>
      <c r="CE135" s="70" t="n"/>
      <c r="CF135" s="70" t="n"/>
      <c r="CG135" s="70" t="n"/>
      <c r="CH135" s="70" t="n"/>
      <c r="CI135" s="70" t="n"/>
      <c r="CJ135" s="70" t="n"/>
      <c r="CK135" s="70" t="n"/>
      <c r="CL135" s="70" t="n"/>
      <c r="CM135" s="70" t="n"/>
      <c r="CN135" s="70" t="n"/>
      <c r="CO135" s="70" t="n"/>
      <c r="CP135" s="70" t="n"/>
      <c r="CQ135" s="70" t="n"/>
      <c r="CR135" s="70" t="n"/>
      <c r="CS135" s="70" t="n"/>
      <c r="CT135" s="70" t="n"/>
      <c r="CU135" s="70" t="n"/>
      <c r="CV135" s="70" t="n"/>
      <c r="CW135" s="70" t="n"/>
      <c r="CX135" s="70" t="n"/>
      <c r="CY135" s="70" t="n"/>
      <c r="CZ135" s="70" t="n"/>
      <c r="DA135" s="70" t="n"/>
      <c r="DB135" s="70" t="n"/>
      <c r="DC135" s="70" t="n"/>
      <c r="DD135" s="70" t="n"/>
      <c r="DE135" s="70" t="n"/>
      <c r="DF135" s="70" t="n"/>
      <c r="DG135" s="70" t="n"/>
      <c r="DH135" s="70" t="n"/>
      <c r="DI135" s="70" t="n"/>
      <c r="DJ135" s="70" t="n"/>
      <c r="DK135" s="70" t="n"/>
      <c r="DL135" s="70" t="n"/>
      <c r="DM135" s="70" t="n"/>
      <c r="DN135" s="70" t="n"/>
      <c r="DO135" s="70" t="n"/>
      <c r="DP135" s="70" t="n"/>
      <c r="DQ135" s="70" t="n"/>
      <c r="DR135" s="70" t="n"/>
      <c r="DS135" s="70" t="n"/>
      <c r="DT135" s="70" t="n"/>
      <c r="DU135" s="70" t="n"/>
      <c r="DV135" s="70" t="n"/>
      <c r="DW135" s="70" t="n"/>
      <c r="DX135" s="70" t="n"/>
      <c r="DY135" s="70" t="n"/>
      <c r="DZ135" s="70" t="n"/>
      <c r="EA135" s="70" t="n"/>
      <c r="EB135" s="70" t="n"/>
      <c r="EC135" s="70" t="n"/>
      <c r="ED135" s="70" t="n"/>
      <c r="EE135" s="70" t="n"/>
      <c r="EF135" s="70" t="n"/>
      <c r="EG135" s="70" t="n"/>
      <c r="EH135" s="70" t="n"/>
      <c r="EI135" s="70" t="n"/>
      <c r="EJ135" s="70" t="n"/>
      <c r="EK135" s="70" t="n"/>
      <c r="EL135" s="70" t="n"/>
      <c r="EM135" s="70" t="n"/>
      <c r="EN135" s="70" t="n"/>
      <c r="EO135" s="70" t="n"/>
      <c r="EP135" s="70" t="n"/>
      <c r="EQ135" s="70" t="n"/>
      <c r="ER135" s="70" t="n"/>
      <c r="ES135" s="70" t="n"/>
      <c r="ET135" s="70" t="n"/>
      <c r="EU135" s="70" t="n"/>
      <c r="EV135" s="70" t="n"/>
      <c r="EW135" s="70" t="n"/>
      <c r="EX135" s="70" t="n"/>
      <c r="EY135" s="70" t="n"/>
      <c r="EZ135" s="70" t="n"/>
      <c r="FA135" s="70" t="n"/>
      <c r="FB135" s="70" t="n"/>
      <c r="FC135" s="70" t="n"/>
      <c r="FD135" s="70" t="n"/>
      <c r="FE135" s="70" t="n"/>
      <c r="FF135" s="70" t="n"/>
      <c r="FG135" s="70" t="n"/>
      <c r="FH135" s="70" t="n"/>
      <c r="FI135" s="70" t="n"/>
      <c r="FJ135" s="70" t="n"/>
      <c r="FK135" s="70" t="n"/>
      <c r="FL135" s="70" t="n"/>
      <c r="FM135" s="70" t="n"/>
      <c r="FN135" s="70" t="n"/>
      <c r="FO135" s="70" t="n"/>
      <c r="FP135" s="70" t="n"/>
      <c r="FQ135" s="70" t="n"/>
      <c r="FR135" s="70" t="n"/>
      <c r="FS135" s="70" t="n"/>
      <c r="FT135" s="70" t="n"/>
      <c r="FU135" s="70" t="n"/>
      <c r="FV135" s="70" t="n"/>
      <c r="FW135" s="70" t="n"/>
      <c r="FX135" s="70" t="n"/>
      <c r="FY135" s="71" t="n"/>
      <c r="FZ135" s="71" t="n"/>
      <c r="GA135" s="71" t="n"/>
    </row>
    <row r="136" ht="13.35" customHeight="1" s="276">
      <c r="A136" s="76" t="n"/>
      <c r="B136" s="62" t="inlineStr">
        <is>
          <t>Totais</t>
        </is>
      </c>
      <c r="C136" s="77">
        <f>SUM(C129:C135)</f>
        <v/>
      </c>
      <c r="D136" s="78">
        <f>SUM(D128:D135)</f>
        <v/>
      </c>
      <c r="E136" s="78">
        <f>SUM(E128:E135)</f>
        <v/>
      </c>
      <c r="F136" s="78">
        <f>SUM(F128:F135)</f>
        <v/>
      </c>
      <c r="G136" s="78">
        <f>SUM(G128:G135)</f>
        <v/>
      </c>
      <c r="H136" s="78">
        <f>SUM(H128:H135)</f>
        <v/>
      </c>
      <c r="I136" s="78">
        <f>SUM(I128:I135)</f>
        <v/>
      </c>
      <c r="J136" s="78">
        <f>SUM(J128:J135)</f>
        <v/>
      </c>
      <c r="K136" s="79" t="n"/>
      <c r="L136" s="112" t="n"/>
      <c r="M136" s="79" t="n"/>
      <c r="N136" s="79" t="n"/>
      <c r="O136" s="79" t="n"/>
      <c r="P136" s="79" t="n"/>
      <c r="Q136" s="79" t="n"/>
      <c r="R136" s="79" t="n"/>
      <c r="S136" s="79" t="n"/>
      <c r="T136" s="79" t="n"/>
      <c r="U136" s="79" t="n"/>
      <c r="V136" s="79" t="n"/>
      <c r="W136" s="79" t="n"/>
      <c r="X136" s="70" t="n"/>
      <c r="Y136" s="70" t="n"/>
      <c r="Z136" s="70" t="n"/>
      <c r="AA136" s="70" t="n"/>
      <c r="AB136" s="70" t="n"/>
      <c r="AC136" s="70" t="n"/>
      <c r="AD136" s="70" t="n"/>
      <c r="AE136" s="70" t="n"/>
      <c r="AF136" s="70" t="n"/>
      <c r="AG136" s="70" t="n"/>
      <c r="AH136" s="70" t="n"/>
      <c r="AI136" s="70" t="n"/>
      <c r="AJ136" s="70" t="n"/>
      <c r="AK136" s="70" t="n"/>
      <c r="AL136" s="70" t="n"/>
      <c r="AM136" s="70" t="n"/>
      <c r="AN136" s="70" t="n"/>
      <c r="AO136" s="70" t="n"/>
      <c r="AP136" s="70" t="n"/>
      <c r="AQ136" s="70" t="n"/>
      <c r="AR136" s="70" t="n"/>
      <c r="AS136" s="70" t="n"/>
      <c r="AT136" s="70" t="n"/>
      <c r="AU136" s="70" t="n"/>
      <c r="AV136" s="70" t="n"/>
      <c r="AW136" s="70" t="n"/>
      <c r="AX136" s="70" t="n"/>
      <c r="AY136" s="70" t="n"/>
      <c r="AZ136" s="70" t="n"/>
      <c r="BA136" s="70" t="n"/>
      <c r="BB136" s="70" t="n"/>
      <c r="BC136" s="70" t="n"/>
      <c r="BD136" s="70" t="n"/>
      <c r="BE136" s="70" t="n"/>
      <c r="BF136" s="70" t="n"/>
      <c r="BG136" s="70" t="n"/>
      <c r="BH136" s="70" t="n"/>
      <c r="BI136" s="70" t="n"/>
      <c r="BJ136" s="70" t="n"/>
      <c r="BK136" s="70" t="n"/>
      <c r="BL136" s="70" t="n"/>
      <c r="BM136" s="70" t="n"/>
      <c r="BN136" s="70" t="n"/>
      <c r="BO136" s="70" t="n"/>
      <c r="BP136" s="70" t="n"/>
      <c r="BQ136" s="70" t="n"/>
      <c r="BR136" s="70" t="n"/>
      <c r="BS136" s="70" t="n"/>
      <c r="BT136" s="70" t="n"/>
      <c r="BU136" s="70" t="n"/>
      <c r="BV136" s="70" t="n"/>
      <c r="BW136" s="70" t="n"/>
      <c r="BX136" s="70" t="n"/>
      <c r="BY136" s="70" t="n"/>
      <c r="BZ136" s="70" t="n"/>
      <c r="CA136" s="70" t="n"/>
      <c r="CB136" s="70" t="n"/>
      <c r="CC136" s="70" t="n"/>
      <c r="CD136" s="70" t="n"/>
      <c r="CE136" s="70" t="n"/>
      <c r="CF136" s="70" t="n"/>
      <c r="CG136" s="70" t="n"/>
      <c r="CH136" s="70" t="n"/>
      <c r="CI136" s="70" t="n"/>
      <c r="CJ136" s="70" t="n"/>
      <c r="CK136" s="70" t="n"/>
      <c r="CL136" s="70" t="n"/>
      <c r="CM136" s="70" t="n"/>
      <c r="CN136" s="70" t="n"/>
      <c r="CO136" s="70" t="n"/>
      <c r="CP136" s="70" t="n"/>
      <c r="CQ136" s="70" t="n"/>
      <c r="CR136" s="70" t="n"/>
      <c r="CS136" s="70" t="n"/>
      <c r="CT136" s="70" t="n"/>
      <c r="CU136" s="70" t="n"/>
      <c r="CV136" s="70" t="n"/>
      <c r="CW136" s="70" t="n"/>
      <c r="CX136" s="70" t="n"/>
      <c r="CY136" s="70" t="n"/>
      <c r="CZ136" s="70" t="n"/>
      <c r="DA136" s="70" t="n"/>
      <c r="DB136" s="70" t="n"/>
      <c r="DC136" s="70" t="n"/>
      <c r="DD136" s="70" t="n"/>
      <c r="DE136" s="70" t="n"/>
      <c r="DF136" s="70" t="n"/>
      <c r="DG136" s="70" t="n"/>
      <c r="DH136" s="70" t="n"/>
      <c r="DI136" s="70" t="n"/>
      <c r="DJ136" s="70" t="n"/>
      <c r="DK136" s="70" t="n"/>
      <c r="DL136" s="70" t="n"/>
      <c r="DM136" s="70" t="n"/>
      <c r="DN136" s="70" t="n"/>
      <c r="DO136" s="70" t="n"/>
      <c r="DP136" s="70" t="n"/>
      <c r="DQ136" s="70" t="n"/>
      <c r="DR136" s="70" t="n"/>
      <c r="DS136" s="70" t="n"/>
      <c r="DT136" s="70" t="n"/>
      <c r="DU136" s="70" t="n"/>
      <c r="DV136" s="70" t="n"/>
      <c r="DW136" s="70" t="n"/>
      <c r="DX136" s="70" t="n"/>
      <c r="DY136" s="70" t="n"/>
      <c r="DZ136" s="70" t="n"/>
      <c r="EA136" s="70" t="n"/>
      <c r="EB136" s="70" t="n"/>
      <c r="EC136" s="70" t="n"/>
      <c r="ED136" s="70" t="n"/>
      <c r="EE136" s="70" t="n"/>
      <c r="EF136" s="70" t="n"/>
      <c r="EG136" s="70" t="n"/>
      <c r="EH136" s="70" t="n"/>
      <c r="EI136" s="70" t="n"/>
      <c r="EJ136" s="70" t="n"/>
      <c r="EK136" s="70" t="n"/>
      <c r="EL136" s="70" t="n"/>
      <c r="EM136" s="70" t="n"/>
      <c r="EN136" s="70" t="n"/>
      <c r="EO136" s="70" t="n"/>
      <c r="EP136" s="70" t="n"/>
      <c r="EQ136" s="70" t="n"/>
      <c r="ER136" s="70" t="n"/>
      <c r="ES136" s="70" t="n"/>
      <c r="ET136" s="70" t="n"/>
      <c r="EU136" s="70" t="n"/>
      <c r="EV136" s="70" t="n"/>
      <c r="EW136" s="70" t="n"/>
      <c r="EX136" s="70" t="n"/>
      <c r="EY136" s="70" t="n"/>
      <c r="EZ136" s="70" t="n"/>
      <c r="FA136" s="70" t="n"/>
      <c r="FB136" s="70" t="n"/>
      <c r="FC136" s="70" t="n"/>
      <c r="FD136" s="70" t="n"/>
      <c r="FE136" s="70" t="n"/>
      <c r="FF136" s="70" t="n"/>
      <c r="FG136" s="70" t="n"/>
      <c r="FH136" s="70" t="n"/>
      <c r="FI136" s="70" t="n"/>
      <c r="FJ136" s="70" t="n"/>
      <c r="FK136" s="70" t="n"/>
      <c r="FL136" s="70" t="n"/>
      <c r="FM136" s="70" t="n"/>
      <c r="FN136" s="70" t="n"/>
      <c r="FO136" s="70" t="n"/>
      <c r="FP136" s="70" t="n"/>
      <c r="FQ136" s="70" t="n"/>
      <c r="FR136" s="70" t="n"/>
      <c r="FS136" s="70" t="n"/>
      <c r="FT136" s="70" t="n"/>
      <c r="FU136" s="70" t="n"/>
      <c r="FV136" s="70" t="n"/>
      <c r="FW136" s="70" t="n"/>
      <c r="FX136" s="70" t="n"/>
      <c r="FY136" s="71" t="n"/>
      <c r="FZ136" s="71" t="n"/>
      <c r="GA136" s="71" t="n"/>
    </row>
    <row r="137">
      <c r="A137" s="47" t="n"/>
      <c r="C137" s="303" t="n"/>
    </row>
    <row r="138">
      <c r="A138" s="47" t="n"/>
      <c r="C138" s="303" t="n"/>
    </row>
    <row r="139" ht="12.75" customHeight="1" s="276">
      <c r="A139" s="281" t="inlineStr">
        <is>
          <t>Vigência do TED</t>
        </is>
      </c>
      <c r="B139" s="257" t="n"/>
      <c r="C139" s="255" t="n"/>
      <c r="D139" s="82" t="n"/>
      <c r="E139" s="82" t="n"/>
      <c r="J139" s="71" t="n"/>
    </row>
    <row r="140" ht="12.75" customHeight="1" s="276">
      <c r="A140" s="281" t="inlineStr">
        <is>
          <t>Vigência de Execução</t>
        </is>
      </c>
      <c r="B140" s="257" t="n"/>
      <c r="C140" s="255" t="n"/>
      <c r="D140" s="82" t="n"/>
      <c r="E140" s="82" t="n"/>
    </row>
    <row r="141" ht="12.75" customHeight="1" s="276">
      <c r="A141" s="281" t="inlineStr">
        <is>
          <t>Vigência do Contrato</t>
        </is>
      </c>
      <c r="B141" s="257" t="n"/>
      <c r="C141" s="255" t="n"/>
      <c r="D141" s="82" t="n"/>
      <c r="E141" s="82" t="n"/>
    </row>
    <row r="142" ht="12.75" customHeight="1" s="276">
      <c r="A142" s="283" t="inlineStr">
        <is>
          <t>Fiscais</t>
        </is>
      </c>
      <c r="B142" s="257" t="n"/>
      <c r="C142" s="255" t="n"/>
      <c r="D142" s="365" t="n"/>
      <c r="E142" s="365" t="n"/>
    </row>
    <row r="143">
      <c r="A143" s="47" t="n"/>
    </row>
    <row r="144">
      <c r="A144" s="47" t="n"/>
    </row>
    <row r="145">
      <c r="A145" s="47" t="n"/>
      <c r="B145" s="303" t="n"/>
      <c r="D145" s="366" t="n"/>
    </row>
    <row r="146">
      <c r="A146" s="47" t="n"/>
      <c r="B146" s="303" t="n"/>
    </row>
    <row r="147">
      <c r="A147" s="47" t="n"/>
      <c r="B147" s="303" t="n"/>
    </row>
    <row r="148">
      <c r="A148" s="47" t="n"/>
      <c r="B148" s="303" t="n"/>
    </row>
    <row r="149">
      <c r="A149" s="47" t="n"/>
      <c r="B149" s="303" t="n"/>
    </row>
    <row r="150">
      <c r="A150" s="47" t="n"/>
      <c r="B150" s="303" t="n"/>
    </row>
    <row r="151">
      <c r="A151" s="47" t="n"/>
      <c r="B151" s="303" t="n"/>
    </row>
    <row r="152">
      <c r="A152" s="47" t="n"/>
      <c r="B152" s="303" t="n"/>
    </row>
    <row r="153">
      <c r="A153" s="47" t="n"/>
      <c r="B153" s="303" t="n"/>
    </row>
    <row r="154">
      <c r="A154" s="47" t="n"/>
      <c r="B154" s="303" t="n"/>
    </row>
    <row r="155">
      <c r="A155" s="47" t="n"/>
      <c r="B155" s="303" t="n"/>
    </row>
    <row r="156">
      <c r="A156" s="47" t="n"/>
      <c r="B156" s="303" t="n"/>
    </row>
    <row r="157">
      <c r="A157" s="47" t="n"/>
      <c r="B157" s="303" t="n"/>
    </row>
    <row r="158">
      <c r="A158" s="47" t="n"/>
      <c r="B158" s="303" t="n"/>
    </row>
    <row r="159">
      <c r="A159" s="47" t="n"/>
      <c r="B159" s="303" t="n"/>
    </row>
    <row r="160">
      <c r="A160" s="47" t="n"/>
    </row>
    <row r="161">
      <c r="A161" s="47" t="n"/>
      <c r="B161" s="367" t="n"/>
    </row>
    <row r="162">
      <c r="A162" s="47" t="n"/>
    </row>
    <row r="163">
      <c r="A163" s="47" t="n"/>
    </row>
    <row r="164">
      <c r="A164" s="47" t="n"/>
    </row>
    <row r="165">
      <c r="A165" s="47" t="n"/>
    </row>
    <row r="166">
      <c r="A166" s="47" t="n"/>
    </row>
    <row r="167">
      <c r="A167" s="47" t="n"/>
    </row>
    <row r="168">
      <c r="A168" s="47" t="n"/>
    </row>
    <row r="169">
      <c r="A169" s="47" t="n"/>
    </row>
    <row r="170">
      <c r="A170" s="47" t="n"/>
    </row>
    <row r="171">
      <c r="A171" s="47" t="n"/>
    </row>
    <row r="172">
      <c r="A172" s="47" t="n"/>
    </row>
    <row r="173">
      <c r="A173" s="47" t="n"/>
    </row>
    <row r="174">
      <c r="A174" s="47" t="n"/>
    </row>
    <row r="175">
      <c r="A175" s="47" t="n"/>
    </row>
    <row r="176">
      <c r="A176" s="47" t="n"/>
    </row>
    <row r="177">
      <c r="A177" s="47" t="n"/>
    </row>
    <row r="178">
      <c r="A178" s="47" t="n"/>
    </row>
    <row r="179">
      <c r="A179" s="47" t="n"/>
    </row>
    <row r="180">
      <c r="A180" s="47" t="n"/>
    </row>
    <row r="181">
      <c r="A181" s="47" t="n"/>
    </row>
    <row r="182">
      <c r="A182" s="47" t="n"/>
    </row>
    <row r="183">
      <c r="A183" s="47" t="n"/>
    </row>
    <row r="184">
      <c r="A184" s="47" t="n"/>
    </row>
    <row r="185">
      <c r="A185" s="47" t="n"/>
    </row>
    <row r="186">
      <c r="A186" s="47" t="n"/>
    </row>
    <row r="187">
      <c r="A187" s="47" t="n"/>
    </row>
    <row r="188">
      <c r="A188" s="47" t="n"/>
    </row>
    <row r="189">
      <c r="A189" s="47" t="n"/>
    </row>
    <row r="190">
      <c r="A190" s="47" t="n"/>
    </row>
    <row r="191">
      <c r="A191" s="47" t="n"/>
    </row>
    <row r="192">
      <c r="A192" s="47" t="n"/>
    </row>
    <row r="193">
      <c r="A193" s="47" t="n"/>
    </row>
    <row r="194">
      <c r="A194" s="47" t="n"/>
    </row>
    <row r="195">
      <c r="A195" s="47" t="n"/>
    </row>
    <row r="196">
      <c r="A196" s="47" t="n"/>
    </row>
    <row r="197">
      <c r="A197" s="47" t="n"/>
    </row>
    <row r="198">
      <c r="A198" s="47" t="n"/>
    </row>
    <row r="199">
      <c r="A199" s="47" t="n"/>
    </row>
    <row r="200">
      <c r="A200" s="47" t="n"/>
    </row>
    <row r="201">
      <c r="A201" s="47" t="n"/>
    </row>
    <row r="202">
      <c r="A202" s="47" t="n"/>
    </row>
    <row r="203">
      <c r="A203" s="47" t="n"/>
    </row>
    <row r="204">
      <c r="A204" s="47" t="n"/>
    </row>
    <row r="205">
      <c r="A205" s="47" t="n"/>
    </row>
    <row r="206">
      <c r="A206" s="47" t="n"/>
    </row>
    <row r="207">
      <c r="A207" s="47" t="n"/>
    </row>
    <row r="208">
      <c r="A208" s="47" t="n"/>
    </row>
    <row r="209">
      <c r="A209" s="47" t="n"/>
    </row>
    <row r="210" ht="14.25" customHeight="1" s="276">
      <c r="A210" s="47" t="n"/>
    </row>
    <row r="211" ht="14.25" customHeight="1" s="276">
      <c r="A211" s="47" t="n"/>
    </row>
    <row r="212" ht="14.25" customHeight="1" s="276">
      <c r="A212" s="47" t="n"/>
    </row>
    <row r="213" ht="14.25" customHeight="1" s="276">
      <c r="A213" s="47" t="n"/>
    </row>
    <row r="214" ht="14.25" customHeight="1" s="276">
      <c r="A214" s="47" t="n"/>
    </row>
    <row r="215" ht="14.25" customHeight="1" s="276">
      <c r="A215" s="47" t="n"/>
    </row>
    <row r="216" ht="14.25" customHeight="1" s="276">
      <c r="A216" s="47" t="n"/>
    </row>
    <row r="217" ht="14.25" customHeight="1" s="276">
      <c r="A217" s="47" t="n"/>
    </row>
    <row r="218" ht="14.25" customHeight="1" s="276">
      <c r="A218" s="47" t="n"/>
    </row>
    <row r="219" ht="14.25" customHeight="1" s="276">
      <c r="A219" s="47" t="n"/>
    </row>
    <row r="220" ht="14.25" customHeight="1" s="276">
      <c r="A220" s="47" t="n"/>
    </row>
    <row r="221" ht="14.25" customHeight="1" s="276">
      <c r="A221" s="47" t="n"/>
    </row>
    <row r="222" ht="14.25" customHeight="1" s="276">
      <c r="A222" s="47" t="n"/>
    </row>
    <row r="223" ht="14.25" customHeight="1" s="276">
      <c r="A223" s="47" t="n"/>
    </row>
    <row r="224" ht="14.25" customHeight="1" s="276">
      <c r="A224" s="47" t="n"/>
    </row>
    <row r="225" ht="14.25" customHeight="1" s="276">
      <c r="A225" s="47" t="n"/>
    </row>
    <row r="226" ht="14.25" customHeight="1" s="276">
      <c r="A226" s="47" t="n"/>
    </row>
    <row r="227" ht="14.25" customHeight="1" s="276">
      <c r="A227" s="47" t="n"/>
    </row>
    <row r="228" ht="14.25" customHeight="1" s="276">
      <c r="A228" s="47" t="n"/>
    </row>
    <row r="229" ht="14.25" customHeight="1" s="276">
      <c r="A229" s="47" t="n"/>
    </row>
    <row r="230" ht="14.25" customHeight="1" s="276">
      <c r="A230" s="47" t="n"/>
    </row>
    <row r="231" ht="14.25" customHeight="1" s="276">
      <c r="A231" s="47" t="n"/>
    </row>
    <row r="232" ht="14.25" customHeight="1" s="276">
      <c r="A232" s="47" t="n"/>
    </row>
    <row r="233" ht="14.25" customHeight="1" s="276">
      <c r="A233" s="47" t="n"/>
    </row>
    <row r="234" ht="14.25" customHeight="1" s="276">
      <c r="A234" s="47" t="n"/>
    </row>
    <row r="235" ht="14.25" customHeight="1" s="276">
      <c r="A235" s="47" t="n"/>
    </row>
    <row r="236" ht="14.25" customHeight="1" s="276">
      <c r="A236" s="47" t="n"/>
    </row>
    <row r="237" ht="14.25" customHeight="1" s="276">
      <c r="A237" s="47" t="n"/>
    </row>
    <row r="238" ht="14.25" customHeight="1" s="276">
      <c r="A238" s="47" t="n"/>
    </row>
    <row r="239" ht="14.25" customHeight="1" s="276">
      <c r="A239" s="47" t="n"/>
    </row>
    <row r="240" ht="14.25" customHeight="1" s="276">
      <c r="A240" s="47" t="n"/>
    </row>
    <row r="241" ht="14.25" customHeight="1" s="276">
      <c r="A241" s="47" t="n"/>
    </row>
    <row r="242" ht="14.25" customHeight="1" s="276">
      <c r="A242" s="47" t="n"/>
    </row>
    <row r="243" ht="14.25" customHeight="1" s="276">
      <c r="A243" s="47" t="n"/>
    </row>
    <row r="244" ht="14.25" customHeight="1" s="276">
      <c r="A244" s="47" t="n"/>
    </row>
    <row r="245" ht="14.25" customHeight="1" s="276">
      <c r="A245" s="47" t="n"/>
    </row>
    <row r="246" ht="14.25" customHeight="1" s="276">
      <c r="A246" s="47" t="n"/>
    </row>
    <row r="247" ht="14.25" customHeight="1" s="276">
      <c r="A247" s="47" t="n"/>
    </row>
    <row r="248" ht="14.25" customHeight="1" s="276">
      <c r="A248" s="47" t="n"/>
    </row>
    <row r="249" ht="14.25" customHeight="1" s="276">
      <c r="A249" s="47" t="n"/>
    </row>
    <row r="250" ht="14.25" customHeight="1" s="276">
      <c r="A250" s="47" t="n"/>
    </row>
    <row r="251" ht="14.25" customHeight="1" s="276">
      <c r="A251" s="47" t="n"/>
    </row>
    <row r="252" ht="14.25" customHeight="1" s="276">
      <c r="A252" s="47" t="n"/>
    </row>
    <row r="253" ht="14.25" customHeight="1" s="276">
      <c r="A253" s="47" t="n"/>
    </row>
    <row r="254" ht="14.25" customHeight="1" s="276">
      <c r="A254" s="47" t="n"/>
    </row>
    <row r="255" ht="14.25" customHeight="1" s="276">
      <c r="A255" s="47" t="n"/>
    </row>
    <row r="256" ht="14.25" customHeight="1" s="276">
      <c r="A256" s="47" t="n"/>
    </row>
    <row r="257" ht="14.25" customHeight="1" s="276">
      <c r="A257" s="47" t="n"/>
    </row>
    <row r="258" ht="14.25" customHeight="1" s="276">
      <c r="A258" s="47" t="n"/>
    </row>
    <row r="259" ht="14.25" customHeight="1" s="276">
      <c r="A259" s="47" t="n"/>
    </row>
    <row r="260" ht="14.25" customHeight="1" s="276">
      <c r="A260" s="47" t="n"/>
    </row>
    <row r="261" ht="14.25" customHeight="1" s="276">
      <c r="A261" s="47" t="n"/>
    </row>
    <row r="262" ht="14.25" customHeight="1" s="276">
      <c r="A262" s="47" t="n"/>
    </row>
    <row r="263" ht="14.25" customHeight="1" s="276">
      <c r="A263" s="47" t="n"/>
    </row>
    <row r="264" ht="14.25" customHeight="1" s="276">
      <c r="A264" s="47" t="n"/>
    </row>
    <row r="265" ht="14.25" customHeight="1" s="276">
      <c r="A265" s="47" t="n"/>
    </row>
    <row r="266" ht="14.25" customHeight="1" s="276">
      <c r="A266" s="47" t="n"/>
    </row>
    <row r="267" ht="14.25" customHeight="1" s="276">
      <c r="A267" s="47" t="n"/>
    </row>
    <row r="268" ht="14.25" customHeight="1" s="276">
      <c r="A268" s="47" t="n"/>
    </row>
    <row r="269" ht="14.25" customHeight="1" s="276">
      <c r="A269" s="47" t="n"/>
    </row>
    <row r="270" ht="14.25" customHeight="1" s="276">
      <c r="A270" s="47" t="n"/>
    </row>
    <row r="271" ht="14.25" customHeight="1" s="276">
      <c r="A271" s="47" t="n"/>
    </row>
    <row r="272" ht="14.25" customHeight="1" s="276">
      <c r="A272" s="47" t="n"/>
    </row>
    <row r="273" ht="14.25" customHeight="1" s="276">
      <c r="A273" s="47" t="n"/>
    </row>
    <row r="274" ht="14.25" customHeight="1" s="276">
      <c r="A274" s="47" t="n"/>
    </row>
    <row r="275" ht="14.25" customHeight="1" s="276">
      <c r="A275" s="47" t="n"/>
    </row>
    <row r="276" ht="14.25" customHeight="1" s="276">
      <c r="A276" s="47" t="n"/>
    </row>
    <row r="277" ht="14.25" customHeight="1" s="276">
      <c r="A277" s="47" t="n"/>
    </row>
    <row r="278" ht="14.25" customHeight="1" s="276">
      <c r="A278" s="47" t="n"/>
    </row>
    <row r="279" ht="14.25" customHeight="1" s="276">
      <c r="A279" s="47" t="n"/>
    </row>
    <row r="280" ht="14.25" customHeight="1" s="276">
      <c r="A280" s="47" t="n"/>
    </row>
    <row r="281" ht="14.25" customHeight="1" s="276">
      <c r="A281" s="47" t="n"/>
    </row>
    <row r="282" ht="14.25" customHeight="1" s="276">
      <c r="A282" s="47" t="n"/>
    </row>
    <row r="283" ht="14.25" customHeight="1" s="276">
      <c r="A283" s="47" t="n"/>
    </row>
    <row r="284" ht="14.25" customHeight="1" s="276">
      <c r="A284" s="47" t="n"/>
    </row>
    <row r="285" ht="14.25" customHeight="1" s="276">
      <c r="A285" s="47" t="n"/>
    </row>
    <row r="286" ht="14.25" customHeight="1" s="276">
      <c r="A286" s="47" t="n"/>
    </row>
    <row r="287" ht="14.25" customHeight="1" s="276">
      <c r="A287" s="47" t="n"/>
    </row>
    <row r="288" ht="14.25" customHeight="1" s="276">
      <c r="A288" s="47" t="n"/>
    </row>
    <row r="289" ht="14.25" customHeight="1" s="276">
      <c r="A289" s="47" t="n"/>
    </row>
    <row r="290" ht="14.25" customHeight="1" s="276">
      <c r="A290" s="47" t="n"/>
    </row>
    <row r="291" ht="14.25" customHeight="1" s="276">
      <c r="A291" s="47" t="n"/>
    </row>
    <row r="292" ht="14.25" customHeight="1" s="276">
      <c r="A292" s="47" t="n"/>
    </row>
    <row r="293" ht="14.25" customHeight="1" s="276">
      <c r="A293" s="47" t="n"/>
    </row>
    <row r="294" ht="14.25" customHeight="1" s="276">
      <c r="A294" s="47" t="n"/>
    </row>
    <row r="295" ht="14.25" customHeight="1" s="276">
      <c r="A295" s="47" t="n"/>
    </row>
    <row r="296" ht="14.25" customHeight="1" s="276">
      <c r="A296" s="47" t="n"/>
    </row>
    <row r="297" ht="14.25" customHeight="1" s="276">
      <c r="A297" s="47" t="n"/>
    </row>
    <row r="298" ht="14.25" customHeight="1" s="276">
      <c r="A298" s="47" t="n"/>
    </row>
    <row r="299" ht="14.25" customHeight="1" s="276">
      <c r="A299" s="47" t="n"/>
    </row>
    <row r="300" ht="14.25" customHeight="1" s="276">
      <c r="A300" s="47" t="n"/>
    </row>
    <row r="301" ht="14.25" customHeight="1" s="276">
      <c r="A301" s="47" t="n"/>
    </row>
    <row r="302" ht="14.25" customHeight="1" s="276">
      <c r="A302" s="47" t="n"/>
    </row>
    <row r="303" ht="14.25" customHeight="1" s="276">
      <c r="A303" s="47" t="n"/>
    </row>
    <row r="304" ht="14.25" customHeight="1" s="276">
      <c r="A304" s="47" t="n"/>
    </row>
    <row r="305" ht="14.25" customHeight="1" s="276">
      <c r="A305" s="47" t="n"/>
    </row>
    <row r="306" ht="14.25" customHeight="1" s="276">
      <c r="A306" s="47" t="n"/>
    </row>
    <row r="307" ht="14.25" customHeight="1" s="276">
      <c r="A307" s="47" t="n"/>
    </row>
    <row r="308" ht="14.25" customHeight="1" s="276">
      <c r="A308" s="47" t="n"/>
    </row>
    <row r="309" ht="14.25" customHeight="1" s="276">
      <c r="A309" s="47" t="n"/>
    </row>
    <row r="310" ht="14.25" customHeight="1" s="276">
      <c r="A310" s="47" t="n"/>
    </row>
    <row r="311" ht="14.25" customHeight="1" s="276">
      <c r="A311" s="47" t="n"/>
    </row>
    <row r="312" ht="14.25" customHeight="1" s="276">
      <c r="A312" s="47" t="n"/>
    </row>
    <row r="313" ht="14.25" customHeight="1" s="276">
      <c r="A313" s="47" t="n"/>
    </row>
    <row r="314" ht="14.25" customHeight="1" s="276">
      <c r="A314" s="47" t="n"/>
    </row>
    <row r="315" ht="14.25" customHeight="1" s="276">
      <c r="A315" s="47" t="n"/>
    </row>
    <row r="316" ht="14.25" customHeight="1" s="276">
      <c r="A316" s="47" t="n"/>
    </row>
    <row r="317" ht="14.25" customHeight="1" s="276">
      <c r="A317" s="47" t="n"/>
    </row>
    <row r="318" ht="14.25" customHeight="1" s="276">
      <c r="A318" s="47" t="n"/>
    </row>
    <row r="319" ht="14.25" customHeight="1" s="276">
      <c r="A319" s="47" t="n"/>
    </row>
    <row r="320" ht="14.25" customHeight="1" s="276">
      <c r="A320" s="47" t="n"/>
    </row>
    <row r="321" ht="14.25" customHeight="1" s="276">
      <c r="A321" s="47" t="n"/>
    </row>
    <row r="322" ht="14.25" customHeight="1" s="276">
      <c r="A322" s="47" t="n"/>
    </row>
    <row r="323" ht="14.25" customHeight="1" s="276">
      <c r="A323" s="47" t="n"/>
    </row>
    <row r="324" ht="14.25" customHeight="1" s="276">
      <c r="A324" s="47" t="n"/>
    </row>
    <row r="325" ht="14.25" customHeight="1" s="276">
      <c r="A325" s="47" t="n"/>
    </row>
    <row r="326" ht="14.25" customHeight="1" s="276">
      <c r="A326" s="47" t="n"/>
    </row>
    <row r="327" ht="14.25" customHeight="1" s="276">
      <c r="A327" s="47" t="n"/>
    </row>
    <row r="328" ht="14.25" customHeight="1" s="276">
      <c r="A328" s="47" t="n"/>
    </row>
    <row r="329" ht="14.25" customHeight="1" s="276">
      <c r="A329" s="47" t="n"/>
    </row>
    <row r="330" ht="14.25" customHeight="1" s="276">
      <c r="A330" s="47" t="n"/>
    </row>
    <row r="331" ht="14.25" customHeight="1" s="276">
      <c r="A331" s="47" t="n"/>
    </row>
    <row r="332" ht="14.25" customHeight="1" s="276">
      <c r="A332" s="47" t="n"/>
    </row>
    <row r="333" ht="14.25" customHeight="1" s="276">
      <c r="A333" s="47" t="n"/>
    </row>
    <row r="334" ht="14.25" customHeight="1" s="276">
      <c r="A334" s="47" t="n"/>
    </row>
    <row r="335" ht="14.25" customHeight="1" s="276">
      <c r="A335" s="47" t="n"/>
    </row>
    <row r="336" ht="14.25" customHeight="1" s="276">
      <c r="A336" s="47" t="n"/>
    </row>
    <row r="337" ht="14.25" customHeight="1" s="276">
      <c r="A337" s="47" t="n"/>
    </row>
    <row r="338" ht="14.25" customHeight="1" s="276">
      <c r="A338" s="47" t="n"/>
    </row>
    <row r="339" ht="14.25" customHeight="1" s="276">
      <c r="A339" s="47" t="n"/>
    </row>
    <row r="340" ht="14.25" customHeight="1" s="276">
      <c r="A340" s="47" t="n"/>
    </row>
    <row r="341" ht="14.25" customHeight="1" s="276">
      <c r="A341" s="47" t="n"/>
    </row>
    <row r="342" ht="14.25" customHeight="1" s="276">
      <c r="A342" s="47" t="n"/>
    </row>
    <row r="343" ht="14.25" customHeight="1" s="276">
      <c r="A343" s="47" t="n"/>
    </row>
    <row r="344" ht="14.25" customHeight="1" s="276">
      <c r="A344" s="47" t="n"/>
    </row>
    <row r="345" ht="14.25" customHeight="1" s="276">
      <c r="A345" s="47" t="n"/>
    </row>
    <row r="346" ht="14.25" customHeight="1" s="276">
      <c r="A346" s="47" t="n"/>
    </row>
    <row r="347" ht="14.25" customHeight="1" s="276">
      <c r="A347" s="47" t="n"/>
    </row>
    <row r="348" ht="14.25" customHeight="1" s="276">
      <c r="A348" s="47" t="n"/>
    </row>
    <row r="349" ht="14.25" customHeight="1" s="276">
      <c r="A349" s="47" t="n"/>
    </row>
    <row r="350" ht="14.25" customHeight="1" s="276">
      <c r="A350" s="47" t="n"/>
    </row>
    <row r="351" ht="14.25" customHeight="1" s="276">
      <c r="A351" s="47" t="n"/>
    </row>
    <row r="352" ht="14.25" customHeight="1" s="276">
      <c r="A352" s="47" t="n"/>
    </row>
    <row r="353" ht="14.25" customHeight="1" s="276">
      <c r="A353" s="47" t="n"/>
    </row>
    <row r="354" ht="14.25" customHeight="1" s="276">
      <c r="A354" s="47" t="n"/>
    </row>
    <row r="355" ht="14.25" customHeight="1" s="276">
      <c r="A355" s="47" t="n"/>
    </row>
    <row r="356" ht="14.25" customHeight="1" s="276">
      <c r="A356" s="47" t="n"/>
    </row>
    <row r="357" ht="14.25" customHeight="1" s="276">
      <c r="A357" s="47" t="n"/>
    </row>
    <row r="358" ht="14.25" customHeight="1" s="276">
      <c r="A358" s="47" t="n"/>
    </row>
    <row r="359" ht="14.25" customHeight="1" s="276">
      <c r="A359" s="47" t="n"/>
    </row>
    <row r="360" ht="14.25" customHeight="1" s="276">
      <c r="A360" s="47" t="n"/>
    </row>
    <row r="361" ht="14.25" customHeight="1" s="276">
      <c r="A361" s="47" t="n"/>
    </row>
    <row r="362" ht="14.25" customHeight="1" s="276">
      <c r="A362" s="47" t="n"/>
    </row>
    <row r="363" ht="14.25" customHeight="1" s="276">
      <c r="A363" s="47" t="n"/>
    </row>
    <row r="364" ht="14.25" customHeight="1" s="276">
      <c r="A364" s="47" t="n"/>
    </row>
    <row r="365" ht="14.25" customHeight="1" s="276">
      <c r="A365" s="47" t="n"/>
    </row>
    <row r="366" ht="14.25" customHeight="1" s="276">
      <c r="A366" s="47" t="n"/>
    </row>
    <row r="367" ht="14.25" customHeight="1" s="276">
      <c r="A367" s="47" t="n"/>
    </row>
    <row r="368" ht="14.25" customHeight="1" s="276">
      <c r="A368" s="47" t="n"/>
    </row>
    <row r="369" ht="14.25" customHeight="1" s="276">
      <c r="A369" s="47" t="n"/>
    </row>
    <row r="370" ht="14.25" customHeight="1" s="276">
      <c r="A370" s="47" t="n"/>
    </row>
    <row r="371" ht="14.25" customHeight="1" s="276">
      <c r="A371" s="47" t="n"/>
    </row>
    <row r="372" ht="14.25" customHeight="1" s="276">
      <c r="A372" s="47" t="n"/>
    </row>
    <row r="373" ht="14.25" customHeight="1" s="276">
      <c r="A373" s="47" t="n"/>
    </row>
    <row r="374" ht="14.25" customHeight="1" s="276">
      <c r="A374" s="47" t="n"/>
    </row>
    <row r="375" ht="14.25" customHeight="1" s="276">
      <c r="A375" s="47" t="n"/>
    </row>
    <row r="376" ht="14.25" customHeight="1" s="276">
      <c r="A376" s="47" t="n"/>
    </row>
    <row r="377" ht="14.25" customHeight="1" s="276">
      <c r="A377" s="47" t="n"/>
    </row>
    <row r="378" ht="14.25" customHeight="1" s="276">
      <c r="A378" s="47" t="n"/>
    </row>
    <row r="379" ht="14.25" customHeight="1" s="276">
      <c r="A379" s="47" t="n"/>
    </row>
    <row r="380" ht="14.25" customHeight="1" s="276">
      <c r="A380" s="47" t="n"/>
    </row>
    <row r="381" ht="14.25" customHeight="1" s="276">
      <c r="A381" s="47" t="n"/>
    </row>
    <row r="382" ht="14.25" customHeight="1" s="276">
      <c r="A382" s="47" t="n"/>
    </row>
    <row r="383" ht="14.25" customHeight="1" s="276">
      <c r="A383" s="47" t="n"/>
    </row>
    <row r="384" ht="14.25" customHeight="1" s="276">
      <c r="A384" s="47" t="n"/>
    </row>
    <row r="385" ht="14.25" customHeight="1" s="276">
      <c r="A385" s="47" t="n"/>
    </row>
    <row r="386" ht="14.25" customHeight="1" s="276">
      <c r="A386" s="47" t="n"/>
    </row>
    <row r="387" ht="14.25" customHeight="1" s="276">
      <c r="A387" s="47" t="n"/>
    </row>
    <row r="388" ht="14.25" customHeight="1" s="276">
      <c r="A388" s="47" t="n"/>
    </row>
    <row r="389" ht="14.25" customHeight="1" s="276">
      <c r="A389" s="47" t="n"/>
    </row>
    <row r="390" ht="14.25" customHeight="1" s="276">
      <c r="A390" s="47" t="n"/>
    </row>
    <row r="391" ht="14.25" customHeight="1" s="276">
      <c r="A391" s="47" t="n"/>
    </row>
    <row r="392" ht="14.25" customHeight="1" s="276">
      <c r="A392" s="47" t="n"/>
    </row>
    <row r="393" ht="14.25" customHeight="1" s="276">
      <c r="A393" s="47" t="n"/>
    </row>
    <row r="394" ht="14.25" customHeight="1" s="276">
      <c r="A394" s="47" t="n"/>
    </row>
    <row r="395" ht="14.25" customHeight="1" s="276">
      <c r="A395" s="47" t="n"/>
    </row>
    <row r="396" ht="14.25" customHeight="1" s="276">
      <c r="A396" s="47" t="n"/>
    </row>
    <row r="397" ht="14.25" customHeight="1" s="276">
      <c r="A397" s="47" t="n"/>
    </row>
    <row r="398" ht="14.25" customHeight="1" s="276">
      <c r="A398" s="47" t="n"/>
    </row>
    <row r="399" ht="14.25" customHeight="1" s="276">
      <c r="A399" s="47" t="n"/>
    </row>
    <row r="400" ht="14.25" customHeight="1" s="276">
      <c r="A400" s="47" t="n"/>
    </row>
    <row r="401" ht="14.25" customHeight="1" s="276">
      <c r="A401" s="47" t="n"/>
    </row>
    <row r="402" ht="14.25" customHeight="1" s="276">
      <c r="A402" s="47" t="n"/>
    </row>
    <row r="403" ht="14.25" customHeight="1" s="276">
      <c r="A403" s="47" t="n"/>
    </row>
    <row r="404" ht="14.25" customHeight="1" s="276">
      <c r="A404" s="47" t="n"/>
    </row>
    <row r="405" ht="14.25" customHeight="1" s="276">
      <c r="A405" s="47" t="n"/>
    </row>
    <row r="406" ht="14.25" customHeight="1" s="276">
      <c r="A406" s="47" t="n"/>
    </row>
    <row r="407" ht="14.25" customHeight="1" s="276">
      <c r="A407" s="47" t="n"/>
    </row>
    <row r="408" ht="14.25" customHeight="1" s="276">
      <c r="A408" s="47" t="n"/>
    </row>
    <row r="409" ht="14.25" customHeight="1" s="276">
      <c r="A409" s="47" t="n"/>
    </row>
    <row r="410" ht="14.25" customHeight="1" s="276">
      <c r="A410" s="47" t="n"/>
    </row>
    <row r="411" ht="14.25" customHeight="1" s="276">
      <c r="A411" s="47" t="n"/>
    </row>
    <row r="412" ht="14.25" customHeight="1" s="276">
      <c r="A412" s="47" t="n"/>
    </row>
    <row r="413" ht="14.25" customHeight="1" s="276">
      <c r="A413" s="47" t="n"/>
    </row>
    <row r="414" ht="14.25" customHeight="1" s="276">
      <c r="A414" s="47" t="n"/>
    </row>
    <row r="415" ht="14.25" customHeight="1" s="276">
      <c r="A415" s="47" t="n"/>
    </row>
    <row r="416" ht="14.25" customHeight="1" s="276">
      <c r="A416" s="47" t="n"/>
    </row>
    <row r="417" ht="14.25" customHeight="1" s="276">
      <c r="A417" s="47" t="n"/>
    </row>
    <row r="418" ht="14.25" customHeight="1" s="276">
      <c r="A418" s="47" t="n"/>
    </row>
    <row r="419" ht="14.25" customHeight="1" s="276">
      <c r="A419" s="47" t="n"/>
    </row>
    <row r="420" ht="14.25" customHeight="1" s="276">
      <c r="A420" s="47" t="n"/>
    </row>
    <row r="421" ht="14.25" customHeight="1" s="276">
      <c r="A421" s="47" t="n"/>
    </row>
    <row r="422" ht="14.25" customHeight="1" s="276">
      <c r="A422" s="47" t="n"/>
    </row>
    <row r="423" ht="14.25" customHeight="1" s="276">
      <c r="A423" s="47" t="n"/>
    </row>
    <row r="424" ht="14.25" customHeight="1" s="276">
      <c r="A424" s="47" t="n"/>
    </row>
    <row r="425" ht="14.25" customHeight="1" s="276">
      <c r="A425" s="47" t="n"/>
    </row>
    <row r="426" ht="14.25" customHeight="1" s="276">
      <c r="A426" s="47" t="n"/>
    </row>
    <row r="427" ht="14.25" customHeight="1" s="276">
      <c r="A427" s="47" t="n"/>
    </row>
    <row r="428" ht="14.25" customHeight="1" s="276">
      <c r="A428" s="47" t="n"/>
    </row>
    <row r="429" ht="14.25" customHeight="1" s="276">
      <c r="A429" s="47" t="n"/>
    </row>
    <row r="430" ht="14.25" customHeight="1" s="276">
      <c r="A430" s="47" t="n"/>
    </row>
    <row r="431" ht="14.25" customHeight="1" s="276">
      <c r="A431" s="47" t="n"/>
    </row>
    <row r="432" ht="14.25" customHeight="1" s="276">
      <c r="A432" s="47" t="n"/>
    </row>
    <row r="433" ht="14.25" customHeight="1" s="276">
      <c r="A433" s="47" t="n"/>
    </row>
    <row r="434" ht="14.25" customHeight="1" s="276">
      <c r="A434" s="47" t="n"/>
    </row>
    <row r="435" ht="14.25" customHeight="1" s="276">
      <c r="A435" s="47" t="n"/>
    </row>
    <row r="436" ht="14.25" customHeight="1" s="276">
      <c r="A436" s="47" t="n"/>
    </row>
    <row r="437" ht="14.25" customHeight="1" s="276">
      <c r="A437" s="47" t="n"/>
    </row>
    <row r="438" ht="14.25" customHeight="1" s="276">
      <c r="A438" s="47" t="n"/>
    </row>
    <row r="439" ht="14.25" customHeight="1" s="276">
      <c r="A439" s="47" t="n"/>
    </row>
    <row r="440" ht="14.25" customHeight="1" s="276">
      <c r="A440" s="47" t="n"/>
    </row>
    <row r="441" ht="14.25" customHeight="1" s="276">
      <c r="A441" s="47" t="n"/>
    </row>
    <row r="442" ht="14.25" customHeight="1" s="276">
      <c r="A442" s="47" t="n"/>
    </row>
    <row r="443" ht="14.25" customHeight="1" s="276">
      <c r="A443" s="47" t="n"/>
    </row>
    <row r="444" ht="14.25" customHeight="1" s="276">
      <c r="A444" s="47" t="n"/>
    </row>
    <row r="445" ht="14.25" customHeight="1" s="276">
      <c r="A445" s="47" t="n"/>
    </row>
    <row r="446" ht="14.25" customHeight="1" s="276">
      <c r="A446" s="47" t="n"/>
    </row>
    <row r="447" ht="14.25" customHeight="1" s="276">
      <c r="A447" s="47" t="n"/>
    </row>
    <row r="448" ht="14.25" customHeight="1" s="276">
      <c r="A448" s="47" t="n"/>
    </row>
    <row r="449" ht="14.25" customHeight="1" s="276">
      <c r="A449" s="47" t="n"/>
    </row>
    <row r="450" ht="14.25" customHeight="1" s="276">
      <c r="A450" s="47" t="n"/>
    </row>
    <row r="451" ht="14.25" customHeight="1" s="276">
      <c r="A451" s="47" t="n"/>
    </row>
    <row r="452" ht="14.25" customHeight="1" s="276">
      <c r="A452" s="47" t="n"/>
    </row>
    <row r="453" ht="14.25" customHeight="1" s="276">
      <c r="A453" s="47" t="n"/>
    </row>
    <row r="454" ht="14.25" customHeight="1" s="276">
      <c r="A454" s="47" t="n"/>
    </row>
  </sheetData>
  <mergeCells count="127">
    <mergeCell ref="B11:D11"/>
    <mergeCell ref="B42:D42"/>
    <mergeCell ref="B60:D60"/>
    <mergeCell ref="B57:D57"/>
    <mergeCell ref="B53:D53"/>
    <mergeCell ref="B44:D44"/>
    <mergeCell ref="B34:D34"/>
    <mergeCell ref="B28:D28"/>
    <mergeCell ref="B37:D37"/>
    <mergeCell ref="B108:D108"/>
    <mergeCell ref="B84:D84"/>
    <mergeCell ref="B92:D92"/>
    <mergeCell ref="B30:D30"/>
    <mergeCell ref="B6:D6"/>
    <mergeCell ref="B20:D20"/>
    <mergeCell ref="B80:D80"/>
    <mergeCell ref="B94:D94"/>
    <mergeCell ref="A124:D124"/>
    <mergeCell ref="B4:D4"/>
    <mergeCell ref="B62:D62"/>
    <mergeCell ref="B54:D54"/>
    <mergeCell ref="B72:D72"/>
    <mergeCell ref="B96:D96"/>
    <mergeCell ref="B56:D56"/>
    <mergeCell ref="B70:D70"/>
    <mergeCell ref="B105:D105"/>
    <mergeCell ref="B43:D43"/>
    <mergeCell ref="B111:D111"/>
    <mergeCell ref="B98:D98"/>
    <mergeCell ref="B107:D107"/>
    <mergeCell ref="B8:D8"/>
    <mergeCell ref="B17:D17"/>
    <mergeCell ref="B73:D73"/>
    <mergeCell ref="B88:D88"/>
    <mergeCell ref="B82:D82"/>
    <mergeCell ref="B10:D10"/>
    <mergeCell ref="B19:D19"/>
    <mergeCell ref="B99:D99"/>
    <mergeCell ref="B9:D9"/>
    <mergeCell ref="B74:D74"/>
    <mergeCell ref="B68:D68"/>
    <mergeCell ref="B83:D83"/>
    <mergeCell ref="B119:C119"/>
    <mergeCell ref="B36:D36"/>
    <mergeCell ref="B5:D5"/>
    <mergeCell ref="B76:D76"/>
    <mergeCell ref="B45:D45"/>
    <mergeCell ref="B110:D110"/>
    <mergeCell ref="B85:D85"/>
    <mergeCell ref="B100:D100"/>
    <mergeCell ref="B75:D75"/>
    <mergeCell ref="B109:D109"/>
    <mergeCell ref="B47:D47"/>
    <mergeCell ref="B59:D59"/>
    <mergeCell ref="B31:D31"/>
    <mergeCell ref="B46:D46"/>
    <mergeCell ref="B102:D102"/>
    <mergeCell ref="B21:D21"/>
    <mergeCell ref="B39:D39"/>
    <mergeCell ref="B48:D48"/>
    <mergeCell ref="B14:D14"/>
    <mergeCell ref="B23:D23"/>
    <mergeCell ref="B121:C121"/>
    <mergeCell ref="B13:D13"/>
    <mergeCell ref="B78:D78"/>
    <mergeCell ref="B122:C122"/>
    <mergeCell ref="B87:D87"/>
    <mergeCell ref="B120:C120"/>
    <mergeCell ref="A141:C141"/>
    <mergeCell ref="B49:D49"/>
    <mergeCell ref="B65:D65"/>
    <mergeCell ref="A125:C125"/>
    <mergeCell ref="B51:D51"/>
    <mergeCell ref="B114:D114"/>
    <mergeCell ref="B63:D63"/>
    <mergeCell ref="B41:D41"/>
    <mergeCell ref="B35:D35"/>
    <mergeCell ref="B50:D50"/>
    <mergeCell ref="B113:D113"/>
    <mergeCell ref="B91:D91"/>
    <mergeCell ref="B25:D25"/>
    <mergeCell ref="B66:D66"/>
    <mergeCell ref="B22:D22"/>
    <mergeCell ref="B115:D115"/>
    <mergeCell ref="B93:D93"/>
    <mergeCell ref="B12:D12"/>
    <mergeCell ref="B77:D77"/>
    <mergeCell ref="B86:D86"/>
    <mergeCell ref="B117:D117"/>
    <mergeCell ref="B67:D67"/>
    <mergeCell ref="B61:D61"/>
    <mergeCell ref="B101:D101"/>
    <mergeCell ref="A139:C139"/>
    <mergeCell ref="B116:D116"/>
    <mergeCell ref="B29:D29"/>
    <mergeCell ref="B69:D69"/>
    <mergeCell ref="B38:D38"/>
    <mergeCell ref="B103:D103"/>
    <mergeCell ref="B112:D112"/>
    <mergeCell ref="B40:D40"/>
    <mergeCell ref="A140:C140"/>
    <mergeCell ref="B15:D15"/>
    <mergeCell ref="B55:D55"/>
    <mergeCell ref="B24:D24"/>
    <mergeCell ref="A123:D123"/>
    <mergeCell ref="B95:D95"/>
    <mergeCell ref="B64:D64"/>
    <mergeCell ref="B33:D33"/>
    <mergeCell ref="B89:D89"/>
    <mergeCell ref="B104:D104"/>
    <mergeCell ref="B79:D79"/>
    <mergeCell ref="B32:D32"/>
    <mergeCell ref="B26:D26"/>
    <mergeCell ref="B97:D97"/>
    <mergeCell ref="B106:D106"/>
    <mergeCell ref="B7:D7"/>
    <mergeCell ref="B16:D16"/>
    <mergeCell ref="B81:D81"/>
    <mergeCell ref="A118:D118"/>
    <mergeCell ref="B90:D90"/>
    <mergeCell ref="B3:D3"/>
    <mergeCell ref="A142:C142"/>
    <mergeCell ref="B71:D71"/>
    <mergeCell ref="B27:D27"/>
    <mergeCell ref="B18:D18"/>
    <mergeCell ref="B58:D58"/>
    <mergeCell ref="B52:D52"/>
  </mergeCells>
  <conditionalFormatting sqref="E4:BG117">
    <cfRule type="expression" priority="5" dxfId="0">
      <formula>ISBLANK(E4)</formula>
    </cfRule>
  </conditionalFormatting>
  <dataValidations count="1">
    <dataValidation sqref="E48:BG112" showDropDown="1" showInputMessage="0" showErrorMessage="0" allowBlank="1" type="custom">
      <formula1>AND(ISNUMBER(E48),(NOT(OR(NOT(ISERROR(DATEVALUE(E48))), AND(ISNUMBER(E48), LEFT(CELL("format", E48))="D")))))</formula1>
    </dataValidation>
  </dataValidations>
  <pageMargins left="0.5118110236220472" right="0.5118110236220472" top="0.7874015748031497" bottom="0.7874015748031497" header="0.3149606299212598" footer="0.3149606299212598"/>
  <pageSetup orientation="landscape" paperSize="9" scale="22" horizontalDpi="300" verticalDpi="300"/>
  <headerFooter>
    <oddHeader>&amp;C&amp;"Arial,Negrito"&amp;12 SAC - BIM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Z420"/>
  <sheetViews>
    <sheetView view="pageBreakPreview" zoomScaleNormal="100" zoomScaleSheetLayoutView="100" workbookViewId="0">
      <pane ySplit="1" topLeftCell="A70" activePane="bottomLeft" state="frozen"/>
      <selection pane="bottomLeft" activeCell="E2" sqref="E2"/>
    </sheetView>
    <sheetView workbookViewId="1">
      <selection activeCell="A1" sqref="A1"/>
    </sheetView>
  </sheetViews>
  <sheetFormatPr baseColWidth="8" defaultColWidth="11.42578125" defaultRowHeight="12"/>
  <cols>
    <col width="4.85546875" bestFit="1" customWidth="1" style="59" min="1" max="1"/>
    <col width="19" customWidth="1" style="47" min="2" max="2"/>
    <col width="7" customWidth="1" style="47" min="3" max="3"/>
    <col width="10.42578125" customWidth="1" style="47" min="4" max="4"/>
    <col width="10.140625" customWidth="1" style="47" min="5" max="153"/>
    <col width="10.7109375" customWidth="1" style="47" min="154" max="161"/>
    <col width="9.5703125" customWidth="1" style="47" min="162" max="162"/>
    <col width="9.85546875" customWidth="1" style="47" min="163" max="163"/>
    <col width="9.140625" customWidth="1" style="47" min="164" max="164"/>
    <col width="9" customWidth="1" style="47" min="165" max="165"/>
    <col width="9.7109375" customWidth="1" style="47" min="166" max="166"/>
    <col width="10.28515625" customWidth="1" style="47" min="167" max="167"/>
    <col width="9.85546875" bestFit="1" customWidth="1" style="47" min="168" max="168"/>
    <col width="9" customWidth="1" style="47" min="169" max="169"/>
    <col width="9.85546875" bestFit="1" customWidth="1" style="47" min="170" max="170"/>
    <col width="9" customWidth="1" style="47" min="171" max="173"/>
    <col width="9.85546875" bestFit="1" customWidth="1" style="47" min="174" max="175"/>
    <col width="9.85546875" customWidth="1" style="47" min="176" max="176"/>
    <col width="11.7109375" customWidth="1" style="47" min="177" max="177"/>
    <col width="10.7109375" customWidth="1" style="47" min="178" max="178"/>
    <col width="10.140625" customWidth="1" style="47" min="179" max="179"/>
    <col width="9" customWidth="1" style="47" min="180" max="181"/>
    <col width="10.42578125" customWidth="1" style="47" min="182" max="182"/>
    <col width="11.42578125" customWidth="1" style="47" min="183" max="184"/>
    <col width="11.42578125" customWidth="1" style="47" min="185" max="16384"/>
  </cols>
  <sheetData>
    <row r="1" ht="13.7" customFormat="1" customHeight="1" s="114">
      <c r="A1" s="113" t="n"/>
      <c r="E1" s="115" t="n">
        <v>46235</v>
      </c>
      <c r="F1" s="115" t="n">
        <v>46266</v>
      </c>
      <c r="G1" s="115" t="n">
        <v>46296</v>
      </c>
      <c r="H1" s="115" t="n">
        <v>46327</v>
      </c>
      <c r="I1" s="115" t="n">
        <v>46357</v>
      </c>
      <c r="J1" s="115" t="n">
        <v>46388</v>
      </c>
      <c r="K1" s="115" t="n">
        <v>46419</v>
      </c>
      <c r="L1" s="115" t="n">
        <v>46447</v>
      </c>
      <c r="M1" s="115" t="n">
        <v>46478</v>
      </c>
      <c r="N1" s="115" t="n">
        <v>46508</v>
      </c>
      <c r="O1" s="115" t="n">
        <v>46539</v>
      </c>
      <c r="P1" s="115" t="n">
        <v>46569</v>
      </c>
      <c r="Q1" s="115" t="n">
        <v>46600</v>
      </c>
      <c r="R1" s="115" t="n">
        <v>46631</v>
      </c>
      <c r="S1" s="115" t="n">
        <v>46661</v>
      </c>
      <c r="T1" s="115" t="n">
        <v>46692</v>
      </c>
      <c r="U1" s="115" t="n">
        <v>46722</v>
      </c>
      <c r="V1" s="115" t="n">
        <v>46753</v>
      </c>
      <c r="W1" s="115" t="n">
        <v>46784</v>
      </c>
      <c r="X1" s="115" t="n">
        <v>46813</v>
      </c>
      <c r="Y1" s="115" t="n">
        <v>46844</v>
      </c>
      <c r="Z1" s="115" t="n">
        <v>46874</v>
      </c>
      <c r="AA1" s="115" t="n">
        <v>46905</v>
      </c>
      <c r="AB1" s="115" t="n">
        <v>46935</v>
      </c>
      <c r="AC1" s="115" t="n">
        <v>46966</v>
      </c>
      <c r="AD1" s="115" t="n">
        <v>46997</v>
      </c>
      <c r="AE1" s="115" t="n">
        <v>47027</v>
      </c>
      <c r="AF1" s="115" t="n">
        <v>47058</v>
      </c>
      <c r="AG1" s="115" t="n">
        <v>47088</v>
      </c>
      <c r="AH1" s="115" t="n">
        <v>47119</v>
      </c>
      <c r="AI1" s="115" t="n">
        <v>47150</v>
      </c>
      <c r="AJ1" s="115" t="n">
        <v>47178</v>
      </c>
      <c r="AK1" s="115" t="n">
        <v>47209</v>
      </c>
      <c r="AL1" s="115" t="n">
        <v>47239</v>
      </c>
      <c r="AM1" s="115" t="n">
        <v>47270</v>
      </c>
      <c r="AN1" s="115" t="n">
        <v>47300</v>
      </c>
      <c r="AO1" s="115" t="n">
        <v>47331</v>
      </c>
      <c r="AP1" s="115" t="n">
        <v>47362</v>
      </c>
      <c r="AQ1" s="115" t="n">
        <v>47392</v>
      </c>
      <c r="AR1" s="115" t="n">
        <v>47423</v>
      </c>
      <c r="AS1" s="115" t="n">
        <v>47453</v>
      </c>
      <c r="AT1" s="115" t="n">
        <v>47484</v>
      </c>
      <c r="AU1" s="115" t="n">
        <v>47515</v>
      </c>
      <c r="AV1" s="115" t="n">
        <v>47543</v>
      </c>
      <c r="AW1" s="115" t="n">
        <v>47574</v>
      </c>
      <c r="AX1" s="115" t="n">
        <v>47604</v>
      </c>
      <c r="AY1" s="115" t="n">
        <v>47635</v>
      </c>
      <c r="AZ1" s="115" t="n">
        <v>47665</v>
      </c>
      <c r="BA1" s="115" t="n">
        <v>47696</v>
      </c>
      <c r="BB1" s="115" t="n">
        <v>47727</v>
      </c>
      <c r="BC1" s="115" t="n">
        <v>47757</v>
      </c>
      <c r="BD1" s="115" t="n">
        <v>47788</v>
      </c>
      <c r="BE1" s="115" t="n">
        <v>47818</v>
      </c>
      <c r="BF1" s="115" t="n">
        <v>47849</v>
      </c>
      <c r="BG1" s="115" t="n">
        <v>47880</v>
      </c>
      <c r="BH1" s="115" t="n">
        <v>47908</v>
      </c>
      <c r="BI1" s="115" t="n">
        <v>47939</v>
      </c>
      <c r="BJ1" s="115" t="n">
        <v>47969</v>
      </c>
      <c r="BK1" s="115" t="n">
        <v>48000</v>
      </c>
      <c r="BL1" s="115" t="n">
        <v>48030</v>
      </c>
    </row>
    <row r="2" ht="13.7" customHeight="1" s="276">
      <c r="A2" s="43" t="inlineStr">
        <is>
          <t>N˚</t>
        </is>
      </c>
      <c r="B2" s="44" t="inlineStr">
        <is>
          <t>Receita</t>
        </is>
      </c>
      <c r="C2" s="45" t="n"/>
      <c r="D2" s="46" t="inlineStr">
        <is>
          <t>Até mai/2026</t>
        </is>
      </c>
      <c r="E2" s="46" t="inlineStr">
        <is>
          <t>Mês 1</t>
        </is>
      </c>
      <c r="F2" s="46" t="inlineStr">
        <is>
          <t>Mês 2</t>
        </is>
      </c>
      <c r="G2" s="46" t="inlineStr">
        <is>
          <t>Mês 3</t>
        </is>
      </c>
      <c r="H2" s="46" t="inlineStr">
        <is>
          <t>Mês 4</t>
        </is>
      </c>
      <c r="I2" s="46" t="inlineStr">
        <is>
          <t>Mês 5</t>
        </is>
      </c>
      <c r="J2" s="46" t="inlineStr">
        <is>
          <t>Mês 6</t>
        </is>
      </c>
      <c r="K2" s="46" t="inlineStr">
        <is>
          <t>Mês 7</t>
        </is>
      </c>
      <c r="L2" s="46" t="inlineStr">
        <is>
          <t>Mês 8</t>
        </is>
      </c>
      <c r="M2" s="46" t="inlineStr">
        <is>
          <t>Mês 9</t>
        </is>
      </c>
      <c r="N2" s="46" t="inlineStr">
        <is>
          <t>Mês 10</t>
        </is>
      </c>
      <c r="O2" s="46" t="inlineStr">
        <is>
          <t>Mês 11</t>
        </is>
      </c>
      <c r="P2" s="46" t="inlineStr">
        <is>
          <t>Mês 12</t>
        </is>
      </c>
      <c r="Q2" s="46" t="inlineStr">
        <is>
          <t>Mês 13</t>
        </is>
      </c>
      <c r="R2" s="46" t="inlineStr">
        <is>
          <t>Mês 14</t>
        </is>
      </c>
      <c r="S2" s="46" t="inlineStr">
        <is>
          <t>Mês 15</t>
        </is>
      </c>
      <c r="T2" s="46" t="inlineStr">
        <is>
          <t>Mês 16</t>
        </is>
      </c>
      <c r="U2" s="46" t="inlineStr">
        <is>
          <t>Mês 17</t>
        </is>
      </c>
      <c r="V2" s="46" t="inlineStr">
        <is>
          <t>Mês 18</t>
        </is>
      </c>
      <c r="W2" s="46" t="inlineStr">
        <is>
          <t>Mês 19</t>
        </is>
      </c>
      <c r="X2" s="46" t="inlineStr">
        <is>
          <t>Mês 20</t>
        </is>
      </c>
      <c r="Y2" s="46" t="inlineStr">
        <is>
          <t>Mês 21</t>
        </is>
      </c>
      <c r="Z2" s="46" t="inlineStr">
        <is>
          <t>Mês 22</t>
        </is>
      </c>
      <c r="AA2" s="46" t="inlineStr">
        <is>
          <t>Mês 23</t>
        </is>
      </c>
      <c r="AB2" s="46" t="inlineStr">
        <is>
          <t>Mês 24</t>
        </is>
      </c>
      <c r="AC2" s="46" t="inlineStr">
        <is>
          <t>Mês 25</t>
        </is>
      </c>
      <c r="AD2" s="46" t="inlineStr">
        <is>
          <t>Mês 26</t>
        </is>
      </c>
      <c r="AE2" s="46" t="inlineStr">
        <is>
          <t>Mês 27</t>
        </is>
      </c>
      <c r="AF2" s="46" t="inlineStr">
        <is>
          <t>Mês 28</t>
        </is>
      </c>
      <c r="AG2" s="46" t="inlineStr">
        <is>
          <t>Mês 29</t>
        </is>
      </c>
      <c r="AH2" s="46" t="inlineStr">
        <is>
          <t>Mês 30</t>
        </is>
      </c>
      <c r="AI2" s="46" t="inlineStr">
        <is>
          <t>Mês 31</t>
        </is>
      </c>
      <c r="AJ2" s="46" t="inlineStr">
        <is>
          <t>Mês 32</t>
        </is>
      </c>
      <c r="AK2" s="46" t="inlineStr">
        <is>
          <t>Mês 33</t>
        </is>
      </c>
      <c r="AL2" s="46" t="inlineStr">
        <is>
          <t>Mês 34</t>
        </is>
      </c>
      <c r="AM2" s="46" t="inlineStr">
        <is>
          <t>Mês 35</t>
        </is>
      </c>
      <c r="AN2" s="46" t="inlineStr">
        <is>
          <t>Mês 36</t>
        </is>
      </c>
      <c r="AO2" s="46" t="inlineStr">
        <is>
          <t>Mês 37</t>
        </is>
      </c>
      <c r="AP2" s="46" t="inlineStr">
        <is>
          <t>Mês 38</t>
        </is>
      </c>
      <c r="AQ2" s="46" t="inlineStr">
        <is>
          <t>Mês 39</t>
        </is>
      </c>
      <c r="AR2" s="46" t="inlineStr">
        <is>
          <t>Mês 40</t>
        </is>
      </c>
      <c r="AS2" s="46" t="inlineStr">
        <is>
          <t>Mês 41</t>
        </is>
      </c>
      <c r="AT2" s="46" t="inlineStr">
        <is>
          <t>Mês 42</t>
        </is>
      </c>
      <c r="AU2" s="46" t="inlineStr">
        <is>
          <t>Mês 43</t>
        </is>
      </c>
      <c r="AV2" s="46" t="inlineStr">
        <is>
          <t>Mês 44</t>
        </is>
      </c>
      <c r="AW2" s="46" t="inlineStr">
        <is>
          <t>Mês 45</t>
        </is>
      </c>
      <c r="AX2" s="46" t="inlineStr">
        <is>
          <t>Mês 46</t>
        </is>
      </c>
      <c r="AY2" s="46" t="inlineStr">
        <is>
          <t>Mês 47</t>
        </is>
      </c>
      <c r="AZ2" s="46" t="inlineStr">
        <is>
          <t>Mês 48</t>
        </is>
      </c>
      <c r="BA2" s="46" t="inlineStr">
        <is>
          <t>Mês 49</t>
        </is>
      </c>
      <c r="BB2" s="46" t="inlineStr">
        <is>
          <t>Mês 50</t>
        </is>
      </c>
      <c r="BC2" s="46" t="inlineStr">
        <is>
          <t>Mês 51</t>
        </is>
      </c>
      <c r="BD2" s="46" t="inlineStr">
        <is>
          <t>Mês 52</t>
        </is>
      </c>
      <c r="BE2" s="46" t="inlineStr">
        <is>
          <t>Mês 53</t>
        </is>
      </c>
      <c r="BF2" s="46" t="inlineStr">
        <is>
          <t>Mês 54</t>
        </is>
      </c>
      <c r="BG2" s="46" t="inlineStr">
        <is>
          <t>Mês 55</t>
        </is>
      </c>
      <c r="BH2" s="46" t="inlineStr">
        <is>
          <t>Mês 56</t>
        </is>
      </c>
      <c r="BI2" s="46" t="inlineStr">
        <is>
          <t>Mês 57</t>
        </is>
      </c>
      <c r="BJ2" s="46" t="inlineStr">
        <is>
          <t>Mês 58</t>
        </is>
      </c>
      <c r="BK2" s="46" t="inlineStr">
        <is>
          <t>Mês 59</t>
        </is>
      </c>
      <c r="BL2" s="46" t="inlineStr">
        <is>
          <t>Mês 60</t>
        </is>
      </c>
      <c r="BM2" s="46" t="inlineStr">
        <is>
          <t>Totais</t>
        </is>
      </c>
    </row>
    <row r="3" ht="13.7" customHeight="1" s="276">
      <c r="A3" s="48" t="n">
        <v>1</v>
      </c>
      <c r="B3" s="49" t="inlineStr">
        <is>
          <t>Parcelas</t>
        </is>
      </c>
      <c r="C3" s="50" t="n"/>
      <c r="D3" s="346">
        <f>E102</f>
        <v/>
      </c>
      <c r="E3" s="347" t="n">
        <v>4935112</v>
      </c>
      <c r="F3" s="347" t="n">
        <v>0</v>
      </c>
      <c r="G3" s="347" t="n">
        <v>0</v>
      </c>
      <c r="H3" s="347" t="n">
        <v>4776605</v>
      </c>
      <c r="I3" s="347" t="n">
        <v>0</v>
      </c>
      <c r="J3" s="347" t="n">
        <v>0</v>
      </c>
      <c r="K3" s="347" t="n">
        <v>0</v>
      </c>
      <c r="L3" s="347" t="n">
        <v>4621485</v>
      </c>
      <c r="M3" s="347" t="n">
        <v>0</v>
      </c>
      <c r="N3" s="347" t="n">
        <v>0</v>
      </c>
      <c r="O3" s="347" t="n">
        <v>0</v>
      </c>
      <c r="P3" s="347" t="n">
        <v>6954175</v>
      </c>
      <c r="Q3" s="347" t="n">
        <v>0</v>
      </c>
      <c r="R3" s="347" t="n">
        <v>0</v>
      </c>
      <c r="S3" s="347" t="n">
        <v>0</v>
      </c>
      <c r="T3" s="347" t="n">
        <v>7464248</v>
      </c>
      <c r="U3" s="347" t="n">
        <v>0</v>
      </c>
      <c r="V3" s="347" t="n">
        <v>0</v>
      </c>
      <c r="W3" s="347" t="n">
        <v>0</v>
      </c>
      <c r="X3" s="347" t="n">
        <v>6920267</v>
      </c>
      <c r="Y3" s="347" t="n">
        <v>0</v>
      </c>
      <c r="Z3" s="347" t="n">
        <v>0</v>
      </c>
      <c r="AA3" s="347" t="n">
        <v>0</v>
      </c>
      <c r="AB3" s="347" t="n">
        <v>7097170</v>
      </c>
      <c r="AC3" s="347" t="n">
        <v>0</v>
      </c>
      <c r="AD3" s="347" t="n">
        <v>0</v>
      </c>
      <c r="AE3" s="347" t="n">
        <v>0</v>
      </c>
      <c r="AF3" s="347" t="n">
        <v>6800937</v>
      </c>
      <c r="AG3" s="347" t="n">
        <v>0</v>
      </c>
      <c r="AH3" s="347" t="n">
        <v>0</v>
      </c>
      <c r="AI3" s="347" t="n">
        <v>0</v>
      </c>
      <c r="AJ3" s="347" t="n">
        <v>6735127</v>
      </c>
      <c r="AK3" s="347" t="n">
        <v>0</v>
      </c>
      <c r="AL3" s="347" t="n">
        <v>0</v>
      </c>
      <c r="AM3" s="347" t="n">
        <v>0</v>
      </c>
      <c r="AN3" s="347" t="n">
        <v>6887097</v>
      </c>
      <c r="AO3" s="347" t="n">
        <v>0</v>
      </c>
      <c r="AP3" s="347" t="n">
        <v>0</v>
      </c>
      <c r="AQ3" s="347" t="n">
        <v>0</v>
      </c>
      <c r="AR3" s="347" t="n">
        <v>6652381</v>
      </c>
      <c r="AS3" s="347" t="n">
        <v>0</v>
      </c>
      <c r="AT3" s="347" t="n">
        <v>0</v>
      </c>
      <c r="AU3" s="347" t="n">
        <v>0</v>
      </c>
      <c r="AV3" s="347" t="n">
        <v>6499459</v>
      </c>
      <c r="AW3" s="347" t="n">
        <v>0</v>
      </c>
      <c r="AX3" s="347" t="n">
        <v>0</v>
      </c>
      <c r="AY3" s="347" t="n">
        <v>0</v>
      </c>
      <c r="AZ3" s="347" t="n">
        <v>6331343</v>
      </c>
      <c r="BA3" s="347" t="n">
        <v>0</v>
      </c>
      <c r="BB3" s="347" t="n">
        <v>0</v>
      </c>
      <c r="BC3" s="347" t="n">
        <v>0</v>
      </c>
      <c r="BD3" s="347" t="n">
        <v>5995102</v>
      </c>
      <c r="BE3" s="347" t="n">
        <v>0</v>
      </c>
      <c r="BF3" s="347" t="n">
        <v>0</v>
      </c>
      <c r="BG3" s="347" t="n">
        <v>0</v>
      </c>
      <c r="BH3" s="347" t="n">
        <v>5874097</v>
      </c>
      <c r="BI3" s="347" t="n">
        <v>0</v>
      </c>
      <c r="BJ3" s="347" t="n">
        <v>0</v>
      </c>
      <c r="BK3" s="347" t="n">
        <v>0</v>
      </c>
      <c r="BL3" s="347" t="n">
        <v>0</v>
      </c>
      <c r="BM3" s="348">
        <f>SUM(D3:BL3)</f>
        <v/>
      </c>
    </row>
    <row r="4" ht="13.7" customHeight="1" s="276">
      <c r="A4" s="51" t="inlineStr">
        <is>
          <t>N˚</t>
        </is>
      </c>
      <c r="B4" s="284" t="inlineStr">
        <is>
          <t>Despesas</t>
        </is>
      </c>
      <c r="C4" s="257" t="n"/>
      <c r="D4" s="255" t="n"/>
      <c r="E4" s="52">
        <f>E2</f>
        <v/>
      </c>
      <c r="F4" s="52">
        <f>F2</f>
        <v/>
      </c>
      <c r="G4" s="52">
        <f>G2</f>
        <v/>
      </c>
      <c r="H4" s="52">
        <f>H2</f>
        <v/>
      </c>
      <c r="I4" s="52">
        <f>I2</f>
        <v/>
      </c>
      <c r="J4" s="52">
        <f>J2</f>
        <v/>
      </c>
      <c r="K4" s="52">
        <f>K2</f>
        <v/>
      </c>
      <c r="L4" s="52">
        <f>L2</f>
        <v/>
      </c>
      <c r="M4" s="52">
        <f>M2</f>
        <v/>
      </c>
      <c r="N4" s="52">
        <f>N2</f>
        <v/>
      </c>
      <c r="O4" s="52">
        <f>O2</f>
        <v/>
      </c>
      <c r="P4" s="52">
        <f>P2</f>
        <v/>
      </c>
      <c r="Q4" s="52">
        <f>Q2</f>
        <v/>
      </c>
      <c r="R4" s="52">
        <f>R2</f>
        <v/>
      </c>
      <c r="S4" s="52">
        <f>S2</f>
        <v/>
      </c>
      <c r="T4" s="52">
        <f>T2</f>
        <v/>
      </c>
      <c r="U4" s="52">
        <f>U2</f>
        <v/>
      </c>
      <c r="V4" s="52">
        <f>V2</f>
        <v/>
      </c>
      <c r="W4" s="52">
        <f>W2</f>
        <v/>
      </c>
      <c r="X4" s="52">
        <f>X2</f>
        <v/>
      </c>
      <c r="Y4" s="52">
        <f>Y2</f>
        <v/>
      </c>
      <c r="Z4" s="52">
        <f>Z2</f>
        <v/>
      </c>
      <c r="AA4" s="52">
        <f>AA2</f>
        <v/>
      </c>
      <c r="AB4" s="52">
        <f>AB2</f>
        <v/>
      </c>
      <c r="AC4" s="52">
        <f>AC2</f>
        <v/>
      </c>
      <c r="AD4" s="52">
        <f>AD2</f>
        <v/>
      </c>
      <c r="AE4" s="52">
        <f>AE2</f>
        <v/>
      </c>
      <c r="AF4" s="52">
        <f>AF2</f>
        <v/>
      </c>
      <c r="AG4" s="52">
        <f>AG2</f>
        <v/>
      </c>
      <c r="AH4" s="52">
        <f>AH2</f>
        <v/>
      </c>
      <c r="AI4" s="52">
        <f>AI2</f>
        <v/>
      </c>
      <c r="AJ4" s="52">
        <f>AJ2</f>
        <v/>
      </c>
      <c r="AK4" s="52">
        <f>AK2</f>
        <v/>
      </c>
      <c r="AL4" s="52">
        <f>AL2</f>
        <v/>
      </c>
      <c r="AM4" s="52">
        <f>AM2</f>
        <v/>
      </c>
      <c r="AN4" s="52">
        <f>AN2</f>
        <v/>
      </c>
      <c r="AO4" s="52">
        <f>AO2</f>
        <v/>
      </c>
      <c r="AP4" s="52">
        <f>AP2</f>
        <v/>
      </c>
      <c r="AQ4" s="52">
        <f>AQ2</f>
        <v/>
      </c>
      <c r="AR4" s="52">
        <f>AR2</f>
        <v/>
      </c>
      <c r="AS4" s="52">
        <f>AS2</f>
        <v/>
      </c>
      <c r="AT4" s="52">
        <f>AT2</f>
        <v/>
      </c>
      <c r="AU4" s="52">
        <f>AU2</f>
        <v/>
      </c>
      <c r="AV4" s="52">
        <f>AV2</f>
        <v/>
      </c>
      <c r="AW4" s="52">
        <f>AW2</f>
        <v/>
      </c>
      <c r="AX4" s="52">
        <f>AX2</f>
        <v/>
      </c>
      <c r="AY4" s="52">
        <f>AY2</f>
        <v/>
      </c>
      <c r="AZ4" s="52">
        <f>AZ2</f>
        <v/>
      </c>
      <c r="BA4" s="52">
        <f>BA2</f>
        <v/>
      </c>
      <c r="BB4" s="52">
        <f>BB2</f>
        <v/>
      </c>
      <c r="BC4" s="52">
        <f>BC2</f>
        <v/>
      </c>
      <c r="BD4" s="52">
        <f>BD2</f>
        <v/>
      </c>
      <c r="BE4" s="52">
        <f>BE2</f>
        <v/>
      </c>
      <c r="BF4" s="52">
        <f>BF2</f>
        <v/>
      </c>
      <c r="BG4" s="52">
        <f>BG2</f>
        <v/>
      </c>
      <c r="BH4" s="52">
        <f>BH2</f>
        <v/>
      </c>
      <c r="BI4" s="52">
        <f>BI2</f>
        <v/>
      </c>
      <c r="BJ4" s="52">
        <f>BJ2</f>
        <v/>
      </c>
      <c r="BK4" s="52">
        <f>BK2</f>
        <v/>
      </c>
      <c r="BL4" s="52">
        <f>BL2</f>
        <v/>
      </c>
      <c r="BM4" s="53" t="inlineStr">
        <is>
          <t>Totais</t>
        </is>
      </c>
    </row>
    <row r="5" ht="13.7" customFormat="1" customHeight="1" s="54">
      <c r="A5" s="48" t="n">
        <v>1</v>
      </c>
      <c r="B5" s="289" t="inlineStr">
        <is>
          <t>Alexandre Garcez Nunes</t>
        </is>
      </c>
      <c r="C5" s="257" t="n"/>
      <c r="D5" s="255" t="n"/>
      <c r="E5" s="349">
        <f>12180.93+730.88</f>
        <v/>
      </c>
      <c r="F5" s="349">
        <f>12180.93+730.88</f>
        <v/>
      </c>
      <c r="G5" s="349">
        <f>12180.93+730.88</f>
        <v/>
      </c>
      <c r="H5" s="349">
        <f>12180.93+730.88</f>
        <v/>
      </c>
      <c r="I5" s="349">
        <f>12180.93+730.88</f>
        <v/>
      </c>
      <c r="J5" s="349">
        <f>12180.93+730.88</f>
        <v/>
      </c>
      <c r="K5" s="349">
        <f>12180.93+730.88</f>
        <v/>
      </c>
      <c r="L5" s="349">
        <f>12180.93+730.88</f>
        <v/>
      </c>
      <c r="M5" s="349">
        <f>12180.93+730.88</f>
        <v/>
      </c>
      <c r="N5" s="349">
        <f>12180.93+730.88</f>
        <v/>
      </c>
      <c r="O5" s="349">
        <f>12180.93+730.88</f>
        <v/>
      </c>
      <c r="P5" s="349">
        <f>12180.93+730.88</f>
        <v/>
      </c>
      <c r="Q5" s="349">
        <f>12180.93+730.88</f>
        <v/>
      </c>
      <c r="R5" s="349">
        <f>12180.93+730.88</f>
        <v/>
      </c>
      <c r="S5" s="349">
        <f>12180.93+730.88</f>
        <v/>
      </c>
      <c r="T5" s="349">
        <f>12180.93+730.88</f>
        <v/>
      </c>
      <c r="U5" s="349">
        <f>12180.93+730.88</f>
        <v/>
      </c>
      <c r="V5" s="349">
        <f>12180.93+730.88</f>
        <v/>
      </c>
      <c r="W5" s="349">
        <f>12180.93+730.88</f>
        <v/>
      </c>
      <c r="X5" s="349">
        <f>12180.93+730.88</f>
        <v/>
      </c>
      <c r="Y5" s="349">
        <f>12180.93+730.88</f>
        <v/>
      </c>
      <c r="Z5" s="349">
        <f>12180.93+730.88</f>
        <v/>
      </c>
      <c r="AA5" s="349">
        <f>12180.93+730.88</f>
        <v/>
      </c>
      <c r="AB5" s="349">
        <f>12180.93+730.88</f>
        <v/>
      </c>
      <c r="AC5" s="349">
        <f>12180.93+730.88</f>
        <v/>
      </c>
      <c r="AD5" s="349">
        <f>12180.93+730.88</f>
        <v/>
      </c>
      <c r="AE5" s="349">
        <f>12180.93+730.88</f>
        <v/>
      </c>
      <c r="AF5" s="349">
        <f>12180.93+730.88</f>
        <v/>
      </c>
      <c r="AG5" s="349">
        <f>12180.93+730.88</f>
        <v/>
      </c>
      <c r="AH5" s="349">
        <f>12180.93+730.88</f>
        <v/>
      </c>
      <c r="AI5" s="349">
        <f>12180.93+730.88</f>
        <v/>
      </c>
      <c r="AJ5" s="349">
        <f>12180.93+730.88</f>
        <v/>
      </c>
      <c r="AK5" s="349">
        <f>12180.93+730.88</f>
        <v/>
      </c>
      <c r="AL5" s="349">
        <f>12180.93+730.88</f>
        <v/>
      </c>
      <c r="AM5" s="349">
        <f>12180.93+730.88</f>
        <v/>
      </c>
      <c r="AN5" s="349">
        <f>12180.93+730.88</f>
        <v/>
      </c>
      <c r="AO5" s="349">
        <f>12180.93+730.88</f>
        <v/>
      </c>
      <c r="AP5" s="349">
        <f>12180.93+730.88</f>
        <v/>
      </c>
      <c r="AQ5" s="349">
        <f>12180.93+730.88</f>
        <v/>
      </c>
      <c r="AR5" s="349">
        <f>12180.93+730.88</f>
        <v/>
      </c>
      <c r="AS5" s="349">
        <f>12180.93+730.88</f>
        <v/>
      </c>
      <c r="AT5" s="349">
        <f>12180.93+730.88</f>
        <v/>
      </c>
      <c r="AU5" s="349">
        <f>12180.93+730.88</f>
        <v/>
      </c>
      <c r="AV5" s="349">
        <f>12180.93+730.88</f>
        <v/>
      </c>
      <c r="AW5" s="349">
        <f>12180.93+730.88</f>
        <v/>
      </c>
      <c r="AX5" s="349">
        <f>12180.93+730.88</f>
        <v/>
      </c>
      <c r="AY5" s="349">
        <f>12180.93+730.88</f>
        <v/>
      </c>
      <c r="AZ5" s="349">
        <f>12180.93+730.88</f>
        <v/>
      </c>
      <c r="BA5" s="349">
        <f>12180.93+730.88</f>
        <v/>
      </c>
      <c r="BB5" s="349">
        <f>12180.93+730.88</f>
        <v/>
      </c>
      <c r="BC5" s="349">
        <f>12180.93+730.88</f>
        <v/>
      </c>
      <c r="BD5" s="349">
        <f>12180.93+730.88</f>
        <v/>
      </c>
      <c r="BE5" s="349">
        <f>12180.93+730.88</f>
        <v/>
      </c>
      <c r="BF5" s="349">
        <f>12180.93+730.88</f>
        <v/>
      </c>
      <c r="BG5" s="349">
        <f>12180.93+730.88</f>
        <v/>
      </c>
      <c r="BH5" s="349">
        <f>12180.93+730.88</f>
        <v/>
      </c>
      <c r="BI5" s="349">
        <f>12180.93+730.88</f>
        <v/>
      </c>
      <c r="BJ5" s="349">
        <f>12180.93+730.88</f>
        <v/>
      </c>
      <c r="BK5" s="349">
        <f>12180.93+730.88</f>
        <v/>
      </c>
      <c r="BL5" s="349">
        <f>12180.93+730.88</f>
        <v/>
      </c>
      <c r="BM5" s="350">
        <f>SUM(E5:BL5)</f>
        <v/>
      </c>
    </row>
    <row r="6" ht="13.7" customFormat="1" customHeight="1" s="54">
      <c r="A6" s="48">
        <f>A5+1</f>
        <v/>
      </c>
      <c r="B6" s="289" t="inlineStr">
        <is>
          <t>Bruno Maluche Neto</t>
        </is>
      </c>
      <c r="C6" s="257" t="n"/>
      <c r="D6" s="255" t="n"/>
      <c r="E6" s="349">
        <f>19765.28+4743.67</f>
        <v/>
      </c>
      <c r="F6" s="349">
        <f>19765.28+4743.67</f>
        <v/>
      </c>
      <c r="G6" s="349">
        <f>19765.28+4743.67</f>
        <v/>
      </c>
      <c r="H6" s="349">
        <f>19765.28+4743.67</f>
        <v/>
      </c>
      <c r="I6" s="349">
        <f>19765.28+4743.67</f>
        <v/>
      </c>
      <c r="J6" s="349">
        <f>19765.28+4743.67</f>
        <v/>
      </c>
      <c r="K6" s="349">
        <f>19765.28+4743.67</f>
        <v/>
      </c>
      <c r="L6" s="349">
        <f>19765.28+4743.67</f>
        <v/>
      </c>
      <c r="M6" s="349">
        <f>19765.28+4743.67</f>
        <v/>
      </c>
      <c r="N6" s="349">
        <f>19765.28+4743.67</f>
        <v/>
      </c>
      <c r="O6" s="349">
        <f>19765.28+4743.67</f>
        <v/>
      </c>
      <c r="P6" s="349">
        <f>19765.28+4743.67</f>
        <v/>
      </c>
      <c r="Q6" s="349">
        <f>19765.28+4743.67</f>
        <v/>
      </c>
      <c r="R6" s="349">
        <f>19765.28+4743.67</f>
        <v/>
      </c>
      <c r="S6" s="349">
        <f>19765.28+4743.67</f>
        <v/>
      </c>
      <c r="T6" s="349">
        <f>19765.28+4743.67</f>
        <v/>
      </c>
      <c r="U6" s="349">
        <f>19765.28+4743.67</f>
        <v/>
      </c>
      <c r="V6" s="349">
        <f>19765.28+4743.67</f>
        <v/>
      </c>
      <c r="W6" s="349">
        <f>19765.28+4743.67</f>
        <v/>
      </c>
      <c r="X6" s="349">
        <f>19765.28+4743.67</f>
        <v/>
      </c>
      <c r="Y6" s="349">
        <f>19765.28+4743.67</f>
        <v/>
      </c>
      <c r="Z6" s="349">
        <f>19765.28+4743.67</f>
        <v/>
      </c>
      <c r="AA6" s="349">
        <f>19765.28+4743.67</f>
        <v/>
      </c>
      <c r="AB6" s="349">
        <f>19765.28+4743.67</f>
        <v/>
      </c>
      <c r="AC6" s="349">
        <f>19765.28+4743.67</f>
        <v/>
      </c>
      <c r="AD6" s="349">
        <f>19765.28+4743.67</f>
        <v/>
      </c>
      <c r="AE6" s="349">
        <f>19765.28+4743.67</f>
        <v/>
      </c>
      <c r="AF6" s="349">
        <f>19765.28+4743.67</f>
        <v/>
      </c>
      <c r="AG6" s="349">
        <f>19765.28+4743.67</f>
        <v/>
      </c>
      <c r="AH6" s="349">
        <f>19765.28+4743.67</f>
        <v/>
      </c>
      <c r="AI6" s="349">
        <f>19765.28+4743.67</f>
        <v/>
      </c>
      <c r="AJ6" s="349">
        <f>19765.28+4743.67</f>
        <v/>
      </c>
      <c r="AK6" s="349">
        <f>19765.28+4743.67</f>
        <v/>
      </c>
      <c r="AL6" s="349">
        <f>19765.28+4743.67</f>
        <v/>
      </c>
      <c r="AM6" s="349">
        <f>19765.28+4743.67</f>
        <v/>
      </c>
      <c r="AN6" s="349">
        <f>19765.28+4743.67</f>
        <v/>
      </c>
      <c r="AO6" s="349">
        <f>19765.28+4743.67</f>
        <v/>
      </c>
      <c r="AP6" s="349">
        <f>19765.28+4743.67</f>
        <v/>
      </c>
      <c r="AQ6" s="349">
        <f>19765.28+4743.67</f>
        <v/>
      </c>
      <c r="AR6" s="349">
        <f>19765.28+4743.67</f>
        <v/>
      </c>
      <c r="AS6" s="349">
        <f>19765.28+4743.67</f>
        <v/>
      </c>
      <c r="AT6" s="349">
        <f>19765.28+4743.67</f>
        <v/>
      </c>
      <c r="AU6" s="349">
        <f>19765.28+4743.67</f>
        <v/>
      </c>
      <c r="AV6" s="349">
        <f>19765.28+4743.67</f>
        <v/>
      </c>
      <c r="AW6" s="349">
        <f>19765.28+4743.67</f>
        <v/>
      </c>
      <c r="AX6" s="349">
        <f>19765.28+4743.67</f>
        <v/>
      </c>
      <c r="AY6" s="349">
        <f>19765.28+4743.67</f>
        <v/>
      </c>
      <c r="AZ6" s="349">
        <f>19765.28+4743.67</f>
        <v/>
      </c>
      <c r="BA6" s="349">
        <f>19765.28+4743.67</f>
        <v/>
      </c>
      <c r="BB6" s="349">
        <f>19765.28+4743.67</f>
        <v/>
      </c>
      <c r="BC6" s="349">
        <f>19765.28+4743.67</f>
        <v/>
      </c>
      <c r="BD6" s="349">
        <f>19765.28+4743.67</f>
        <v/>
      </c>
      <c r="BE6" s="349">
        <f>19765.28+4743.67</f>
        <v/>
      </c>
      <c r="BF6" s="349">
        <f>19765.28+4743.67</f>
        <v/>
      </c>
      <c r="BG6" s="349">
        <f>19765.28+4743.67</f>
        <v/>
      </c>
      <c r="BH6" s="349">
        <f>19765.28+4743.67</f>
        <v/>
      </c>
      <c r="BI6" s="349">
        <f>19765.28+4743.67</f>
        <v/>
      </c>
      <c r="BJ6" s="349">
        <f>19765.28+4743.67</f>
        <v/>
      </c>
      <c r="BK6" s="349">
        <f>19765.28+4743.67</f>
        <v/>
      </c>
      <c r="BL6" s="349">
        <f>19765.28+4743.67</f>
        <v/>
      </c>
      <c r="BM6" s="350">
        <f>SUM(E6:BL6)</f>
        <v/>
      </c>
    </row>
    <row r="7" ht="13.7" customFormat="1" customHeight="1" s="54">
      <c r="A7" s="48">
        <f>A6+1</f>
        <v/>
      </c>
      <c r="B7" s="289" t="inlineStr">
        <is>
          <t>Fernanda Miranda</t>
        </is>
      </c>
      <c r="C7" s="257" t="n"/>
      <c r="D7" s="255" t="n"/>
      <c r="E7" s="349">
        <f>10052.21+904.7</f>
        <v/>
      </c>
      <c r="F7" s="349">
        <f>10052.21+904.7</f>
        <v/>
      </c>
      <c r="G7" s="349">
        <f>10052.21+904.7</f>
        <v/>
      </c>
      <c r="H7" s="349">
        <f>10052.21+904.7</f>
        <v/>
      </c>
      <c r="I7" s="349">
        <f>10052.21+904.7</f>
        <v/>
      </c>
      <c r="J7" s="349">
        <f>10052.21+904.7</f>
        <v/>
      </c>
      <c r="K7" s="349">
        <f>10052.21+904.7</f>
        <v/>
      </c>
      <c r="L7" s="349">
        <f>10052.21+904.7</f>
        <v/>
      </c>
      <c r="M7" s="349">
        <f>10052.21+904.7</f>
        <v/>
      </c>
      <c r="N7" s="349">
        <f>10052.21+904.7</f>
        <v/>
      </c>
      <c r="O7" s="349">
        <f>10052.21+904.7</f>
        <v/>
      </c>
      <c r="P7" s="349">
        <f>10052.21+904.7</f>
        <v/>
      </c>
      <c r="Q7" s="349">
        <f>10052.21+904.7</f>
        <v/>
      </c>
      <c r="R7" s="349">
        <f>10052.21+904.7</f>
        <v/>
      </c>
      <c r="S7" s="349">
        <f>10052.21+904.7</f>
        <v/>
      </c>
      <c r="T7" s="349">
        <f>10052.21+904.7</f>
        <v/>
      </c>
      <c r="U7" s="349">
        <f>10052.21+904.7</f>
        <v/>
      </c>
      <c r="V7" s="349">
        <f>10052.21+904.7</f>
        <v/>
      </c>
      <c r="W7" s="349">
        <f>10052.21+904.7</f>
        <v/>
      </c>
      <c r="X7" s="349">
        <f>10052.21+904.7</f>
        <v/>
      </c>
      <c r="Y7" s="349">
        <f>10052.21+904.7</f>
        <v/>
      </c>
      <c r="Z7" s="349">
        <f>10052.21+904.7</f>
        <v/>
      </c>
      <c r="AA7" s="349">
        <f>10052.21+904.7</f>
        <v/>
      </c>
      <c r="AB7" s="349">
        <f>10052.21+904.7</f>
        <v/>
      </c>
      <c r="AC7" s="349">
        <f>10052.21+904.7</f>
        <v/>
      </c>
      <c r="AD7" s="349">
        <f>10052.21+904.7</f>
        <v/>
      </c>
      <c r="AE7" s="349">
        <f>10052.21+904.7</f>
        <v/>
      </c>
      <c r="AF7" s="349">
        <f>10052.21+904.7</f>
        <v/>
      </c>
      <c r="AG7" s="349">
        <f>10052.21+904.7</f>
        <v/>
      </c>
      <c r="AH7" s="349">
        <f>10052.21+904.7</f>
        <v/>
      </c>
      <c r="AI7" s="349">
        <f>10052.21+904.7</f>
        <v/>
      </c>
      <c r="AJ7" s="349">
        <f>10052.21+904.7</f>
        <v/>
      </c>
      <c r="AK7" s="349">
        <f>10052.21+904.7</f>
        <v/>
      </c>
      <c r="AL7" s="349">
        <f>10052.21+904.7</f>
        <v/>
      </c>
      <c r="AM7" s="349">
        <f>10052.21+904.7</f>
        <v/>
      </c>
      <c r="AN7" s="349">
        <f>10052.21+904.7</f>
        <v/>
      </c>
      <c r="AO7" s="349">
        <f>10052.21+904.7</f>
        <v/>
      </c>
      <c r="AP7" s="349">
        <f>10052.21+904.7</f>
        <v/>
      </c>
      <c r="AQ7" s="349">
        <f>10052.21+904.7</f>
        <v/>
      </c>
      <c r="AR7" s="349">
        <f>10052.21+904.7</f>
        <v/>
      </c>
      <c r="AS7" s="349">
        <f>10052.21+904.7</f>
        <v/>
      </c>
      <c r="AT7" s="349">
        <f>10052.21+904.7</f>
        <v/>
      </c>
      <c r="AU7" s="349">
        <f>10052.21+904.7</f>
        <v/>
      </c>
      <c r="AV7" s="349">
        <f>10052.21+904.7</f>
        <v/>
      </c>
      <c r="AW7" s="349">
        <f>10052.21+904.7</f>
        <v/>
      </c>
      <c r="AX7" s="349">
        <f>10052.21+904.7</f>
        <v/>
      </c>
      <c r="AY7" s="349">
        <f>10052.21+904.7</f>
        <v/>
      </c>
      <c r="AZ7" s="349">
        <f>10052.21+904.7</f>
        <v/>
      </c>
      <c r="BA7" s="349">
        <f>10052.21+904.7</f>
        <v/>
      </c>
      <c r="BB7" s="349">
        <f>10052.21+904.7</f>
        <v/>
      </c>
      <c r="BC7" s="349">
        <f>10052.21+904.7</f>
        <v/>
      </c>
      <c r="BD7" s="349">
        <f>10052.21+904.7</f>
        <v/>
      </c>
      <c r="BE7" s="349">
        <f>10052.21+904.7</f>
        <v/>
      </c>
      <c r="BF7" s="349">
        <f>10052.21+904.7</f>
        <v/>
      </c>
      <c r="BG7" s="349">
        <f>10052.21+904.7</f>
        <v/>
      </c>
      <c r="BH7" s="349">
        <f>10052.21+904.7</f>
        <v/>
      </c>
      <c r="BI7" s="349">
        <f>10052.21+904.7</f>
        <v/>
      </c>
      <c r="BJ7" s="349">
        <f>10052.21+904.7</f>
        <v/>
      </c>
      <c r="BK7" s="349">
        <f>10052.21+904.7</f>
        <v/>
      </c>
      <c r="BL7" s="349">
        <f>10052.21+904.7</f>
        <v/>
      </c>
      <c r="BM7" s="350">
        <f>SUM(E7:BL7)</f>
        <v/>
      </c>
    </row>
    <row r="8" ht="13.7" customFormat="1" customHeight="1" s="54">
      <c r="A8" s="48">
        <f>A7+1</f>
        <v/>
      </c>
      <c r="B8" s="289" t="inlineStr">
        <is>
          <t xml:space="preserve">Giseli de Sousa    </t>
        </is>
      </c>
      <c r="C8" s="257" t="n"/>
      <c r="D8" s="255" t="n"/>
      <c r="E8" s="349">
        <f>13593.2+1223.39</f>
        <v/>
      </c>
      <c r="F8" s="349">
        <f>13593.2+1223.39</f>
        <v/>
      </c>
      <c r="G8" s="349">
        <f>13593.2+1223.39</f>
        <v/>
      </c>
      <c r="H8" s="349">
        <f>13593.2+1223.39</f>
        <v/>
      </c>
      <c r="I8" s="349">
        <f>13593.2+1223.39</f>
        <v/>
      </c>
      <c r="J8" s="349">
        <f>13593.2+1223.39</f>
        <v/>
      </c>
      <c r="K8" s="349">
        <f>13593.2+1223.39</f>
        <v/>
      </c>
      <c r="L8" s="349">
        <f>13593.2+1223.39</f>
        <v/>
      </c>
      <c r="M8" s="349">
        <f>13593.2+1223.39</f>
        <v/>
      </c>
      <c r="N8" s="349">
        <f>13593.2+1223.39</f>
        <v/>
      </c>
      <c r="O8" s="349">
        <f>13593.2+1223.39</f>
        <v/>
      </c>
      <c r="P8" s="349">
        <f>13593.2+1223.39</f>
        <v/>
      </c>
      <c r="Q8" s="349">
        <f>13593.2+1223.39</f>
        <v/>
      </c>
      <c r="R8" s="349">
        <f>13593.2+1223.39</f>
        <v/>
      </c>
      <c r="S8" s="349">
        <f>13593.2+1223.39</f>
        <v/>
      </c>
      <c r="T8" s="349">
        <f>13593.2+1223.39</f>
        <v/>
      </c>
      <c r="U8" s="349">
        <f>13593.2+1223.39</f>
        <v/>
      </c>
      <c r="V8" s="349">
        <f>13593.2+1223.39</f>
        <v/>
      </c>
      <c r="W8" s="349">
        <f>13593.2+1223.39</f>
        <v/>
      </c>
      <c r="X8" s="349">
        <f>13593.2+1223.39</f>
        <v/>
      </c>
      <c r="Y8" s="349">
        <f>13593.2+1223.39</f>
        <v/>
      </c>
      <c r="Z8" s="349">
        <f>13593.2+1223.39</f>
        <v/>
      </c>
      <c r="AA8" s="349">
        <f>13593.2+1223.39</f>
        <v/>
      </c>
      <c r="AB8" s="349">
        <f>13593.2+1223.39</f>
        <v/>
      </c>
      <c r="AC8" s="349">
        <f>13593.2+1223.39</f>
        <v/>
      </c>
      <c r="AD8" s="349">
        <f>13593.2+1223.39</f>
        <v/>
      </c>
      <c r="AE8" s="349">
        <f>13593.2+1223.39</f>
        <v/>
      </c>
      <c r="AF8" s="349">
        <f>13593.2+1223.39</f>
        <v/>
      </c>
      <c r="AG8" s="349">
        <f>13593.2+1223.39</f>
        <v/>
      </c>
      <c r="AH8" s="349">
        <f>13593.2+1223.39</f>
        <v/>
      </c>
      <c r="AI8" s="349">
        <f>13593.2+1223.39</f>
        <v/>
      </c>
      <c r="AJ8" s="349">
        <f>13593.2+1223.39</f>
        <v/>
      </c>
      <c r="AK8" s="349">
        <f>13593.2+1223.39</f>
        <v/>
      </c>
      <c r="AL8" s="349">
        <f>13593.2+1223.39</f>
        <v/>
      </c>
      <c r="AM8" s="349">
        <f>13593.2+1223.39</f>
        <v/>
      </c>
      <c r="AN8" s="349">
        <f>13593.2+1223.39</f>
        <v/>
      </c>
      <c r="AO8" s="349">
        <f>13593.2+1223.39</f>
        <v/>
      </c>
      <c r="AP8" s="349">
        <f>13593.2+1223.39</f>
        <v/>
      </c>
      <c r="AQ8" s="349">
        <f>13593.2+1223.39</f>
        <v/>
      </c>
      <c r="AR8" s="349">
        <f>13593.2+1223.39</f>
        <v/>
      </c>
      <c r="AS8" s="349">
        <f>13593.2+1223.39</f>
        <v/>
      </c>
      <c r="AT8" s="349">
        <f>13593.2+1223.39</f>
        <v/>
      </c>
      <c r="AU8" s="349">
        <f>13593.2+1223.39</f>
        <v/>
      </c>
      <c r="AV8" s="349">
        <f>13593.2+1223.39</f>
        <v/>
      </c>
      <c r="AW8" s="349">
        <f>13593.2+1223.39</f>
        <v/>
      </c>
      <c r="AX8" s="349">
        <f>13593.2+1223.39</f>
        <v/>
      </c>
      <c r="AY8" s="349">
        <f>13593.2+1223.39</f>
        <v/>
      </c>
      <c r="AZ8" s="349">
        <f>13593.2+1223.39</f>
        <v/>
      </c>
      <c r="BA8" s="349">
        <f>13593.2+1223.39</f>
        <v/>
      </c>
      <c r="BB8" s="349">
        <f>13593.2+1223.39</f>
        <v/>
      </c>
      <c r="BC8" s="349">
        <f>13593.2+1223.39</f>
        <v/>
      </c>
      <c r="BD8" s="349">
        <f>13593.2+1223.39</f>
        <v/>
      </c>
      <c r="BE8" s="349">
        <f>13593.2+1223.39</f>
        <v/>
      </c>
      <c r="BF8" s="349">
        <f>13593.2+1223.39</f>
        <v/>
      </c>
      <c r="BG8" s="349">
        <f>13593.2+1223.39</f>
        <v/>
      </c>
      <c r="BH8" s="349">
        <f>13593.2+1223.39</f>
        <v/>
      </c>
      <c r="BI8" s="349">
        <f>13593.2+1223.39</f>
        <v/>
      </c>
      <c r="BJ8" s="349">
        <f>13593.2+1223.39</f>
        <v/>
      </c>
      <c r="BK8" s="349">
        <f>13593.2+1223.39</f>
        <v/>
      </c>
      <c r="BL8" s="349">
        <f>13593.2+1223.39</f>
        <v/>
      </c>
      <c r="BM8" s="350">
        <f>SUM(E8:BL8)</f>
        <v/>
      </c>
    </row>
    <row r="9" ht="13.7" customFormat="1" customHeight="1" s="54">
      <c r="A9" s="48">
        <f>A8+1</f>
        <v/>
      </c>
      <c r="B9" s="289" t="inlineStr">
        <is>
          <t>Joao Gabriel Crema</t>
        </is>
      </c>
      <c r="C9" s="257" t="n"/>
      <c r="D9" s="255" t="n"/>
      <c r="E9" s="349">
        <f>13592.7+2038.9</f>
        <v/>
      </c>
      <c r="F9" s="349">
        <f>13592.7+2038.9</f>
        <v/>
      </c>
      <c r="G9" s="349">
        <f>13592.7+2038.9</f>
        <v/>
      </c>
      <c r="H9" s="349">
        <f>13592.7+2038.9</f>
        <v/>
      </c>
      <c r="I9" s="349">
        <f>13592.7+2038.9</f>
        <v/>
      </c>
      <c r="J9" s="349">
        <f>13592.7+2038.9</f>
        <v/>
      </c>
      <c r="K9" s="349">
        <f>13592.7+2038.9</f>
        <v/>
      </c>
      <c r="L9" s="349">
        <f>13592.7+2038.9</f>
        <v/>
      </c>
      <c r="M9" s="349">
        <f>13592.7+2038.9</f>
        <v/>
      </c>
      <c r="N9" s="349">
        <f>13592.7+2038.9</f>
        <v/>
      </c>
      <c r="O9" s="349">
        <f>13592.7+2038.9</f>
        <v/>
      </c>
      <c r="P9" s="349">
        <f>13592.7+2038.9</f>
        <v/>
      </c>
      <c r="Q9" s="349">
        <f>13592.7+2038.9</f>
        <v/>
      </c>
      <c r="R9" s="349">
        <f>13592.7+2038.9</f>
        <v/>
      </c>
      <c r="S9" s="349">
        <f>13592.7+2038.9</f>
        <v/>
      </c>
      <c r="T9" s="349">
        <f>13592.7+2038.9</f>
        <v/>
      </c>
      <c r="U9" s="349">
        <f>13592.7+2038.9</f>
        <v/>
      </c>
      <c r="V9" s="349">
        <f>13592.7+2038.9</f>
        <v/>
      </c>
      <c r="W9" s="349">
        <f>13592.7+2038.9</f>
        <v/>
      </c>
      <c r="X9" s="349">
        <f>13592.7+2038.9</f>
        <v/>
      </c>
      <c r="Y9" s="349">
        <f>13592.7+2038.9</f>
        <v/>
      </c>
      <c r="Z9" s="349">
        <f>13592.7+2038.9</f>
        <v/>
      </c>
      <c r="AA9" s="349">
        <f>13592.7+2038.9</f>
        <v/>
      </c>
      <c r="AB9" s="349">
        <f>13592.7+2038.9</f>
        <v/>
      </c>
      <c r="AC9" s="349">
        <f>13592.7+2038.9</f>
        <v/>
      </c>
      <c r="AD9" s="349">
        <f>13592.7+2038.9</f>
        <v/>
      </c>
      <c r="AE9" s="349">
        <f>13592.7+2038.9</f>
        <v/>
      </c>
      <c r="AF9" s="349">
        <f>13592.7+2038.9</f>
        <v/>
      </c>
      <c r="AG9" s="349">
        <f>13592.7+2038.9</f>
        <v/>
      </c>
      <c r="AH9" s="349">
        <f>13592.7+2038.9</f>
        <v/>
      </c>
      <c r="AI9" s="349">
        <f>13592.7+2038.9</f>
        <v/>
      </c>
      <c r="AJ9" s="349">
        <f>13592.7+2038.9</f>
        <v/>
      </c>
      <c r="AK9" s="349">
        <f>13592.7+2038.9</f>
        <v/>
      </c>
      <c r="AL9" s="349">
        <f>13592.7+2038.9</f>
        <v/>
      </c>
      <c r="AM9" s="349">
        <f>13592.7+2038.9</f>
        <v/>
      </c>
      <c r="AN9" s="349">
        <f>13592.7+2038.9</f>
        <v/>
      </c>
      <c r="AO9" s="349">
        <f>13592.7+2038.9</f>
        <v/>
      </c>
      <c r="AP9" s="349">
        <f>13592.7+2038.9</f>
        <v/>
      </c>
      <c r="AQ9" s="349">
        <f>13592.7+2038.9</f>
        <v/>
      </c>
      <c r="AR9" s="349">
        <f>13592.7+2038.9</f>
        <v/>
      </c>
      <c r="AS9" s="349">
        <f>13592.7+2038.9</f>
        <v/>
      </c>
      <c r="AT9" s="349">
        <f>13592.7+2038.9</f>
        <v/>
      </c>
      <c r="AU9" s="349">
        <f>13592.7+2038.9</f>
        <v/>
      </c>
      <c r="AV9" s="349">
        <f>13592.7+2038.9</f>
        <v/>
      </c>
      <c r="AW9" s="349">
        <f>13592.7+2038.9</f>
        <v/>
      </c>
      <c r="AX9" s="349">
        <f>13592.7+2038.9</f>
        <v/>
      </c>
      <c r="AY9" s="349">
        <f>13592.7+2038.9</f>
        <v/>
      </c>
      <c r="AZ9" s="349">
        <f>13592.7+2038.9</f>
        <v/>
      </c>
      <c r="BA9" s="349">
        <f>13592.7+2038.9</f>
        <v/>
      </c>
      <c r="BB9" s="349">
        <f>13592.7+2038.9</f>
        <v/>
      </c>
      <c r="BC9" s="349">
        <f>13592.7+2038.9</f>
        <v/>
      </c>
      <c r="BD9" s="349">
        <f>13592.7+2038.9</f>
        <v/>
      </c>
      <c r="BE9" s="349">
        <f>13592.7+2038.9</f>
        <v/>
      </c>
      <c r="BF9" s="349">
        <f>13592.7+2038.9</f>
        <v/>
      </c>
      <c r="BG9" s="349">
        <f>13592.7+2038.9</f>
        <v/>
      </c>
      <c r="BH9" s="349">
        <f>13592.7+2038.9</f>
        <v/>
      </c>
      <c r="BI9" s="349">
        <f>13592.7+2038.9</f>
        <v/>
      </c>
      <c r="BJ9" s="349">
        <f>13592.7+2038.9</f>
        <v/>
      </c>
      <c r="BK9" s="349">
        <f>13592.7+2038.9</f>
        <v/>
      </c>
      <c r="BL9" s="349">
        <f>13592.7+2038.9</f>
        <v/>
      </c>
      <c r="BM9" s="350">
        <f>SUM(E9:BL9)</f>
        <v/>
      </c>
    </row>
    <row r="10" ht="13.7" customFormat="1" customHeight="1" s="54">
      <c r="A10" s="48">
        <f>A9+1</f>
        <v/>
      </c>
      <c r="B10" s="289" t="inlineStr">
        <is>
          <t>Josivan Laskoski</t>
        </is>
      </c>
      <c r="C10" s="257" t="n"/>
      <c r="D10" s="255" t="n"/>
      <c r="E10" s="349">
        <f>17670.52+2120.46</f>
        <v/>
      </c>
      <c r="F10" s="349">
        <f>17670.52+2120.46</f>
        <v/>
      </c>
      <c r="G10" s="349">
        <f>17670.52+2120.46</f>
        <v/>
      </c>
      <c r="H10" s="349">
        <f>17670.52+2120.46</f>
        <v/>
      </c>
      <c r="I10" s="349">
        <f>17670.52+2120.46</f>
        <v/>
      </c>
      <c r="J10" s="349">
        <f>17670.52+2120.46</f>
        <v/>
      </c>
      <c r="K10" s="349">
        <f>17670.52+2120.46</f>
        <v/>
      </c>
      <c r="L10" s="349">
        <f>17670.52+2120.46</f>
        <v/>
      </c>
      <c r="M10" s="349">
        <f>17670.52+2120.46</f>
        <v/>
      </c>
      <c r="N10" s="349">
        <f>17670.52+2120.46</f>
        <v/>
      </c>
      <c r="O10" s="349">
        <f>17670.52+2120.46</f>
        <v/>
      </c>
      <c r="P10" s="349">
        <f>17670.52+2120.46</f>
        <v/>
      </c>
      <c r="Q10" s="349">
        <f>17670.52+2120.46</f>
        <v/>
      </c>
      <c r="R10" s="349">
        <f>17670.52+2120.46</f>
        <v/>
      </c>
      <c r="S10" s="349">
        <f>17670.52+2120.46</f>
        <v/>
      </c>
      <c r="T10" s="349">
        <f>17670.52+2120.46</f>
        <v/>
      </c>
      <c r="U10" s="349">
        <f>17670.52+2120.46</f>
        <v/>
      </c>
      <c r="V10" s="349">
        <f>17670.52+2120.46</f>
        <v/>
      </c>
      <c r="W10" s="349">
        <f>17670.52+2120.46</f>
        <v/>
      </c>
      <c r="X10" s="349">
        <f>17670.52+2120.46</f>
        <v/>
      </c>
      <c r="Y10" s="349">
        <f>17670.52+2120.46</f>
        <v/>
      </c>
      <c r="Z10" s="349">
        <f>17670.52+2120.46</f>
        <v/>
      </c>
      <c r="AA10" s="349">
        <f>17670.52+2120.46</f>
        <v/>
      </c>
      <c r="AB10" s="349">
        <f>17670.52+2120.46</f>
        <v/>
      </c>
      <c r="AC10" s="349">
        <f>17670.52+2120.46</f>
        <v/>
      </c>
      <c r="AD10" s="349">
        <f>17670.52+2120.46</f>
        <v/>
      </c>
      <c r="AE10" s="349">
        <f>17670.52+2120.46</f>
        <v/>
      </c>
      <c r="AF10" s="349">
        <f>17670.52+2120.46</f>
        <v/>
      </c>
      <c r="AG10" s="349">
        <f>17670.52+2120.46</f>
        <v/>
      </c>
      <c r="AH10" s="349">
        <f>17670.52+2120.46</f>
        <v/>
      </c>
      <c r="AI10" s="349">
        <f>17670.52+2120.46</f>
        <v/>
      </c>
      <c r="AJ10" s="349">
        <f>17670.52+2120.46</f>
        <v/>
      </c>
      <c r="AK10" s="349">
        <f>17670.52+2120.46</f>
        <v/>
      </c>
      <c r="AL10" s="349">
        <f>17670.52+2120.46</f>
        <v/>
      </c>
      <c r="AM10" s="349">
        <f>17670.52+2120.46</f>
        <v/>
      </c>
      <c r="AN10" s="349">
        <f>17670.52+2120.46</f>
        <v/>
      </c>
      <c r="AO10" s="349">
        <f>17670.52+2120.46</f>
        <v/>
      </c>
      <c r="AP10" s="349">
        <f>17670.52+2120.46</f>
        <v/>
      </c>
      <c r="AQ10" s="349">
        <f>17670.52+2120.46</f>
        <v/>
      </c>
      <c r="AR10" s="349">
        <f>17670.52+2120.46</f>
        <v/>
      </c>
      <c r="AS10" s="349">
        <f>17670.52+2120.46</f>
        <v/>
      </c>
      <c r="AT10" s="349">
        <f>17670.52+2120.46</f>
        <v/>
      </c>
      <c r="AU10" s="349">
        <f>17670.52+2120.46</f>
        <v/>
      </c>
      <c r="AV10" s="349">
        <f>17670.52+2120.46</f>
        <v/>
      </c>
      <c r="AW10" s="349">
        <f>17670.52+2120.46</f>
        <v/>
      </c>
      <c r="AX10" s="349">
        <f>17670.52+2120.46</f>
        <v/>
      </c>
      <c r="AY10" s="349">
        <f>17670.52+2120.46</f>
        <v/>
      </c>
      <c r="AZ10" s="349">
        <f>17670.52+2120.46</f>
        <v/>
      </c>
      <c r="BA10" s="349">
        <f>17670.52+2120.46</f>
        <v/>
      </c>
      <c r="BB10" s="349">
        <f>17670.52+2120.46</f>
        <v/>
      </c>
      <c r="BC10" s="349">
        <f>17670.52+2120.46</f>
        <v/>
      </c>
      <c r="BD10" s="349">
        <f>17670.52+2120.46</f>
        <v/>
      </c>
      <c r="BE10" s="349">
        <f>17670.52+2120.46</f>
        <v/>
      </c>
      <c r="BF10" s="349">
        <f>17670.52+2120.46</f>
        <v/>
      </c>
      <c r="BG10" s="349">
        <f>17670.52+2120.46</f>
        <v/>
      </c>
      <c r="BH10" s="349">
        <f>17670.52+2120.46</f>
        <v/>
      </c>
      <c r="BI10" s="349">
        <f>17670.52+2120.46</f>
        <v/>
      </c>
      <c r="BJ10" s="349">
        <f>17670.52+2120.46</f>
        <v/>
      </c>
      <c r="BK10" s="349">
        <f>17670.52+2120.46</f>
        <v/>
      </c>
      <c r="BL10" s="349">
        <f>17670.52+2120.46</f>
        <v/>
      </c>
      <c r="BM10" s="350">
        <f>SUM(E10:BL10)</f>
        <v/>
      </c>
    </row>
    <row r="11" ht="13.7" customFormat="1" customHeight="1" s="54">
      <c r="A11" s="48">
        <f>A10+1</f>
        <v/>
      </c>
      <c r="B11" s="289" t="inlineStr">
        <is>
          <t>Marcelo Maciel Pereira</t>
        </is>
      </c>
      <c r="C11" s="257" t="n"/>
      <c r="D11" s="255" t="n"/>
      <c r="E11" s="349">
        <f>11583.15+2779.96</f>
        <v/>
      </c>
      <c r="F11" s="349">
        <f>11583.15+2779.96</f>
        <v/>
      </c>
      <c r="G11" s="349">
        <f>11583.15+2779.96</f>
        <v/>
      </c>
      <c r="H11" s="349">
        <f>11583.15+2779.96</f>
        <v/>
      </c>
      <c r="I11" s="349">
        <f>11583.15+2779.96</f>
        <v/>
      </c>
      <c r="J11" s="349">
        <f>11583.15+2779.96</f>
        <v/>
      </c>
      <c r="K11" s="349">
        <f>11583.15+2779.96</f>
        <v/>
      </c>
      <c r="L11" s="349">
        <f>11583.15+2779.96</f>
        <v/>
      </c>
      <c r="M11" s="349">
        <f>11583.15+2779.96</f>
        <v/>
      </c>
      <c r="N11" s="349">
        <f>11583.15+2779.96</f>
        <v/>
      </c>
      <c r="O11" s="349">
        <f>11583.15+2779.96</f>
        <v/>
      </c>
      <c r="P11" s="349">
        <f>11583.15+2779.96</f>
        <v/>
      </c>
      <c r="Q11" s="349">
        <f>11583.15+2779.96</f>
        <v/>
      </c>
      <c r="R11" s="349">
        <f>11583.15+2779.96</f>
        <v/>
      </c>
      <c r="S11" s="349">
        <f>11583.15+2779.96</f>
        <v/>
      </c>
      <c r="T11" s="349">
        <f>11583.15+2779.96</f>
        <v/>
      </c>
      <c r="U11" s="349">
        <f>11583.15+2779.96</f>
        <v/>
      </c>
      <c r="V11" s="349">
        <f>11583.15+2779.96</f>
        <v/>
      </c>
      <c r="W11" s="349">
        <f>11583.15+2779.96</f>
        <v/>
      </c>
      <c r="X11" s="349">
        <f>11583.15+2779.96</f>
        <v/>
      </c>
      <c r="Y11" s="349">
        <f>11583.15+2779.96</f>
        <v/>
      </c>
      <c r="Z11" s="349">
        <f>11583.15+2779.96</f>
        <v/>
      </c>
      <c r="AA11" s="349">
        <f>11583.15+2779.96</f>
        <v/>
      </c>
      <c r="AB11" s="349">
        <f>11583.15+2779.96</f>
        <v/>
      </c>
      <c r="AC11" s="349">
        <f>11583.15+2779.96</f>
        <v/>
      </c>
      <c r="AD11" s="349">
        <f>11583.15+2779.96</f>
        <v/>
      </c>
      <c r="AE11" s="349">
        <f>11583.15+2779.96</f>
        <v/>
      </c>
      <c r="AF11" s="349">
        <f>11583.15+2779.96</f>
        <v/>
      </c>
      <c r="AG11" s="349">
        <f>11583.15+2779.96</f>
        <v/>
      </c>
      <c r="AH11" s="349">
        <f>11583.15+2779.96</f>
        <v/>
      </c>
      <c r="AI11" s="349">
        <f>11583.15+2779.96</f>
        <v/>
      </c>
      <c r="AJ11" s="349">
        <f>11583.15+2779.96</f>
        <v/>
      </c>
      <c r="AK11" s="349">
        <f>11583.15+2779.96</f>
        <v/>
      </c>
      <c r="AL11" s="349">
        <f>11583.15+2779.96</f>
        <v/>
      </c>
      <c r="AM11" s="349">
        <f>11583.15+2779.96</f>
        <v/>
      </c>
      <c r="AN11" s="349">
        <f>11583.15+2779.96</f>
        <v/>
      </c>
      <c r="AO11" s="349">
        <f>11583.15+2779.96</f>
        <v/>
      </c>
      <c r="AP11" s="349">
        <f>11583.15+2779.96</f>
        <v/>
      </c>
      <c r="AQ11" s="349">
        <f>11583.15+2779.96</f>
        <v/>
      </c>
      <c r="AR11" s="349">
        <f>11583.15+2779.96</f>
        <v/>
      </c>
      <c r="AS11" s="349">
        <f>11583.15+2779.96</f>
        <v/>
      </c>
      <c r="AT11" s="349">
        <f>11583.15+2779.96</f>
        <v/>
      </c>
      <c r="AU11" s="349">
        <f>11583.15+2779.96</f>
        <v/>
      </c>
      <c r="AV11" s="349">
        <f>11583.15+2779.96</f>
        <v/>
      </c>
      <c r="AW11" s="349">
        <f>11583.15+2779.96</f>
        <v/>
      </c>
      <c r="AX11" s="349">
        <f>11583.15+2779.96</f>
        <v/>
      </c>
      <c r="AY11" s="349">
        <f>11583.15+2779.96</f>
        <v/>
      </c>
      <c r="AZ11" s="349">
        <f>11583.15+2779.96</f>
        <v/>
      </c>
      <c r="BA11" s="349">
        <f>11583.15+2779.96</f>
        <v/>
      </c>
      <c r="BB11" s="349">
        <f>11583.15+2779.96</f>
        <v/>
      </c>
      <c r="BC11" s="349">
        <f>11583.15+2779.96</f>
        <v/>
      </c>
      <c r="BD11" s="349">
        <f>11583.15+2779.96</f>
        <v/>
      </c>
      <c r="BE11" s="349">
        <f>11583.15+2779.96</f>
        <v/>
      </c>
      <c r="BF11" s="349">
        <f>11583.15+2779.96</f>
        <v/>
      </c>
      <c r="BG11" s="349">
        <f>11583.15+2779.96</f>
        <v/>
      </c>
      <c r="BH11" s="349">
        <f>11583.15+2779.96</f>
        <v/>
      </c>
      <c r="BI11" s="349">
        <f>11583.15+2779.96</f>
        <v/>
      </c>
      <c r="BJ11" s="349">
        <f>11583.15+2779.96</f>
        <v/>
      </c>
      <c r="BK11" s="349">
        <f>11583.15+2779.96</f>
        <v/>
      </c>
      <c r="BL11" s="349">
        <f>11583.15+2779.96</f>
        <v/>
      </c>
      <c r="BM11" s="350">
        <f>SUM(E11:BL11)</f>
        <v/>
      </c>
    </row>
    <row r="12" ht="13.7" customFormat="1" customHeight="1" s="54">
      <c r="A12" s="48">
        <f>A11+1</f>
        <v/>
      </c>
      <c r="B12" s="289" t="inlineStr">
        <is>
          <t>Morgana Leite</t>
        </is>
      </c>
      <c r="C12" s="257" t="n"/>
      <c r="D12" s="255" t="n"/>
      <c r="E12" s="349">
        <f>5994.65+539.52</f>
        <v/>
      </c>
      <c r="F12" s="349">
        <f>5994.65+539.52</f>
        <v/>
      </c>
      <c r="G12" s="349">
        <f>5994.65+539.52</f>
        <v/>
      </c>
      <c r="H12" s="349">
        <f>5994.65+539.52</f>
        <v/>
      </c>
      <c r="I12" s="349">
        <f>5994.65+539.52</f>
        <v/>
      </c>
      <c r="J12" s="349">
        <f>5994.65+539.52</f>
        <v/>
      </c>
      <c r="K12" s="349">
        <f>5994.65+539.52</f>
        <v/>
      </c>
      <c r="L12" s="349">
        <f>5994.65+539.52</f>
        <v/>
      </c>
      <c r="M12" s="349">
        <f>5994.65+539.52</f>
        <v/>
      </c>
      <c r="N12" s="349">
        <f>5994.65+539.52</f>
        <v/>
      </c>
      <c r="O12" s="349">
        <f>5994.65+539.52</f>
        <v/>
      </c>
      <c r="P12" s="349">
        <f>5994.65+539.52</f>
        <v/>
      </c>
      <c r="Q12" s="349">
        <f>5994.65+539.52</f>
        <v/>
      </c>
      <c r="R12" s="349">
        <f>5994.65+539.52</f>
        <v/>
      </c>
      <c r="S12" s="349">
        <f>5994.65+539.52</f>
        <v/>
      </c>
      <c r="T12" s="349">
        <f>5994.65+539.52</f>
        <v/>
      </c>
      <c r="U12" s="349">
        <f>5994.65+539.52</f>
        <v/>
      </c>
      <c r="V12" s="349">
        <f>5994.65+539.52</f>
        <v/>
      </c>
      <c r="W12" s="349">
        <f>5994.65+539.52</f>
        <v/>
      </c>
      <c r="X12" s="349">
        <f>5994.65+539.52</f>
        <v/>
      </c>
      <c r="Y12" s="349">
        <f>5994.65+539.52</f>
        <v/>
      </c>
      <c r="Z12" s="349">
        <f>5994.65+539.52</f>
        <v/>
      </c>
      <c r="AA12" s="349">
        <f>5994.65+539.52</f>
        <v/>
      </c>
      <c r="AB12" s="349">
        <f>5994.65+539.52</f>
        <v/>
      </c>
      <c r="AC12" s="349">
        <f>5994.65+539.52</f>
        <v/>
      </c>
      <c r="AD12" s="349">
        <f>5994.65+539.52</f>
        <v/>
      </c>
      <c r="AE12" s="349">
        <f>5994.65+539.52</f>
        <v/>
      </c>
      <c r="AF12" s="349">
        <f>5994.65+539.52</f>
        <v/>
      </c>
      <c r="AG12" s="349">
        <f>5994.65+539.52</f>
        <v/>
      </c>
      <c r="AH12" s="349">
        <f>5994.65+539.52</f>
        <v/>
      </c>
      <c r="AI12" s="349">
        <f>5994.65+539.52</f>
        <v/>
      </c>
      <c r="AJ12" s="349">
        <f>5994.65+539.52</f>
        <v/>
      </c>
      <c r="AK12" s="349">
        <f>5994.65+539.52</f>
        <v/>
      </c>
      <c r="AL12" s="349">
        <f>5994.65+539.52</f>
        <v/>
      </c>
      <c r="AM12" s="349">
        <f>5994.65+539.52</f>
        <v/>
      </c>
      <c r="AN12" s="349">
        <f>5994.65+539.52</f>
        <v/>
      </c>
      <c r="AO12" s="349">
        <f>5994.65+539.52</f>
        <v/>
      </c>
      <c r="AP12" s="349">
        <f>5994.65+539.52</f>
        <v/>
      </c>
      <c r="AQ12" s="349">
        <f>5994.65+539.52</f>
        <v/>
      </c>
      <c r="AR12" s="349">
        <f>5994.65+539.52</f>
        <v/>
      </c>
      <c r="AS12" s="349">
        <f>5994.65+539.52</f>
        <v/>
      </c>
      <c r="AT12" s="349">
        <f>5994.65+539.52</f>
        <v/>
      </c>
      <c r="AU12" s="349">
        <f>5994.65+539.52</f>
        <v/>
      </c>
      <c r="AV12" s="349">
        <f>5994.65+539.52</f>
        <v/>
      </c>
      <c r="AW12" s="349">
        <f>5994.65+539.52</f>
        <v/>
      </c>
      <c r="AX12" s="349">
        <f>5994.65+539.52</f>
        <v/>
      </c>
      <c r="AY12" s="349">
        <f>5994.65+539.52</f>
        <v/>
      </c>
      <c r="AZ12" s="349">
        <f>5994.65+539.52</f>
        <v/>
      </c>
      <c r="BA12" s="349">
        <f>5994.65+539.52</f>
        <v/>
      </c>
      <c r="BB12" s="349">
        <f>5994.65+539.52</f>
        <v/>
      </c>
      <c r="BC12" s="349">
        <f>5994.65+539.52</f>
        <v/>
      </c>
      <c r="BD12" s="349">
        <f>5994.65+539.52</f>
        <v/>
      </c>
      <c r="BE12" s="349">
        <f>5994.65+539.52</f>
        <v/>
      </c>
      <c r="BF12" s="349">
        <f>5994.65+539.52</f>
        <v/>
      </c>
      <c r="BG12" s="349">
        <f>5994.65+539.52</f>
        <v/>
      </c>
      <c r="BH12" s="349">
        <f>5994.65+539.52</f>
        <v/>
      </c>
      <c r="BI12" s="349">
        <f>5994.65+539.52</f>
        <v/>
      </c>
      <c r="BJ12" s="349">
        <f>5994.65+539.52</f>
        <v/>
      </c>
      <c r="BK12" s="349">
        <f>5994.65+539.52</f>
        <v/>
      </c>
      <c r="BL12" s="349">
        <f>5994.65+539.52</f>
        <v/>
      </c>
      <c r="BM12" s="350">
        <f>SUM(E12:BL12)</f>
        <v/>
      </c>
    </row>
    <row r="13" ht="13.7" customFormat="1" customHeight="1" s="54">
      <c r="A13" s="48">
        <f>A12+1</f>
        <v/>
      </c>
      <c r="B13" s="289" t="inlineStr">
        <is>
          <t>Rafael Berretta</t>
        </is>
      </c>
      <c r="C13" s="257" t="n"/>
      <c r="D13" s="255" t="n"/>
      <c r="E13" s="349">
        <f>5341.55+480.74</f>
        <v/>
      </c>
      <c r="F13" s="349">
        <f>5341.55+480.74</f>
        <v/>
      </c>
      <c r="G13" s="349">
        <f>5341.55+480.74</f>
        <v/>
      </c>
      <c r="H13" s="349">
        <f>5341.55+480.74</f>
        <v/>
      </c>
      <c r="I13" s="349">
        <f>5341.55+480.74</f>
        <v/>
      </c>
      <c r="J13" s="349">
        <f>5341.55+480.74</f>
        <v/>
      </c>
      <c r="K13" s="349">
        <f>5341.55+480.74</f>
        <v/>
      </c>
      <c r="L13" s="349">
        <f>5341.55+480.74</f>
        <v/>
      </c>
      <c r="M13" s="349">
        <f>5341.55+480.74</f>
        <v/>
      </c>
      <c r="N13" s="349">
        <f>5341.55+480.74</f>
        <v/>
      </c>
      <c r="O13" s="349">
        <f>5341.55+480.74</f>
        <v/>
      </c>
      <c r="P13" s="349">
        <f>5341.55+480.74</f>
        <v/>
      </c>
      <c r="Q13" s="349">
        <f>5341.55+480.74</f>
        <v/>
      </c>
      <c r="R13" s="349">
        <f>5341.55+480.74</f>
        <v/>
      </c>
      <c r="S13" s="349">
        <f>5341.55+480.74</f>
        <v/>
      </c>
      <c r="T13" s="349">
        <f>5341.55+480.74</f>
        <v/>
      </c>
      <c r="U13" s="349">
        <f>5341.55+480.74</f>
        <v/>
      </c>
      <c r="V13" s="349">
        <f>5341.55+480.74</f>
        <v/>
      </c>
      <c r="W13" s="349">
        <f>5341.55+480.74</f>
        <v/>
      </c>
      <c r="X13" s="349">
        <f>5341.55+480.74</f>
        <v/>
      </c>
      <c r="Y13" s="349">
        <f>5341.55+480.74</f>
        <v/>
      </c>
      <c r="Z13" s="349">
        <f>5341.55+480.74</f>
        <v/>
      </c>
      <c r="AA13" s="349">
        <f>5341.55+480.74</f>
        <v/>
      </c>
      <c r="AB13" s="349">
        <f>5341.55+480.74</f>
        <v/>
      </c>
      <c r="AC13" s="349">
        <f>5341.55+480.74</f>
        <v/>
      </c>
      <c r="AD13" s="349">
        <f>5341.55+480.74</f>
        <v/>
      </c>
      <c r="AE13" s="349">
        <f>5341.55+480.74</f>
        <v/>
      </c>
      <c r="AF13" s="349">
        <f>5341.55+480.74</f>
        <v/>
      </c>
      <c r="AG13" s="349">
        <f>5341.55+480.74</f>
        <v/>
      </c>
      <c r="AH13" s="349">
        <f>5341.55+480.74</f>
        <v/>
      </c>
      <c r="AI13" s="349">
        <f>5341.55+480.74</f>
        <v/>
      </c>
      <c r="AJ13" s="349">
        <f>5341.55+480.74</f>
        <v/>
      </c>
      <c r="AK13" s="349">
        <f>5341.55+480.74</f>
        <v/>
      </c>
      <c r="AL13" s="349">
        <f>5341.55+480.74</f>
        <v/>
      </c>
      <c r="AM13" s="349">
        <f>5341.55+480.74</f>
        <v/>
      </c>
      <c r="AN13" s="349">
        <f>5341.55+480.74</f>
        <v/>
      </c>
      <c r="AO13" s="349">
        <f>5341.55+480.74</f>
        <v/>
      </c>
      <c r="AP13" s="349">
        <f>5341.55+480.74</f>
        <v/>
      </c>
      <c r="AQ13" s="349">
        <f>5341.55+480.74</f>
        <v/>
      </c>
      <c r="AR13" s="349">
        <f>5341.55+480.74</f>
        <v/>
      </c>
      <c r="AS13" s="349">
        <f>5341.55+480.74</f>
        <v/>
      </c>
      <c r="AT13" s="349">
        <f>5341.55+480.74</f>
        <v/>
      </c>
      <c r="AU13" s="349">
        <f>5341.55+480.74</f>
        <v/>
      </c>
      <c r="AV13" s="349">
        <f>5341.55+480.74</f>
        <v/>
      </c>
      <c r="AW13" s="349">
        <f>5341.55+480.74</f>
        <v/>
      </c>
      <c r="AX13" s="349">
        <f>5341.55+480.74</f>
        <v/>
      </c>
      <c r="AY13" s="349">
        <f>5341.55+480.74</f>
        <v/>
      </c>
      <c r="AZ13" s="349">
        <f>5341.55+480.74</f>
        <v/>
      </c>
      <c r="BA13" s="349">
        <f>5341.55+480.74</f>
        <v/>
      </c>
      <c r="BB13" s="349">
        <f>5341.55+480.74</f>
        <v/>
      </c>
      <c r="BC13" s="349">
        <f>5341.55+480.74</f>
        <v/>
      </c>
      <c r="BD13" s="349">
        <f>5341.55+480.74</f>
        <v/>
      </c>
      <c r="BE13" s="349">
        <f>5341.55+480.74</f>
        <v/>
      </c>
      <c r="BF13" s="349">
        <f>5341.55+480.74</f>
        <v/>
      </c>
      <c r="BG13" s="349">
        <f>5341.55+480.74</f>
        <v/>
      </c>
      <c r="BH13" s="349">
        <f>5341.55+480.74</f>
        <v/>
      </c>
      <c r="BI13" s="349">
        <f>5341.55+480.74</f>
        <v/>
      </c>
      <c r="BJ13" s="349">
        <f>5341.55+480.74</f>
        <v/>
      </c>
      <c r="BK13" s="349">
        <f>5341.55+480.74</f>
        <v/>
      </c>
      <c r="BL13" s="349">
        <f>5341.55+480.74</f>
        <v/>
      </c>
      <c r="BM13" s="350">
        <f>SUM(E13:BL13)</f>
        <v/>
      </c>
    </row>
    <row r="14" ht="13.7" customFormat="1" customHeight="1" s="54">
      <c r="A14" s="48">
        <f>A13+1</f>
        <v/>
      </c>
      <c r="B14" s="289" t="inlineStr">
        <is>
          <t>Thaysa Momm Bastos</t>
        </is>
      </c>
      <c r="C14" s="257" t="n"/>
      <c r="D14" s="255" t="n"/>
      <c r="E14" s="349">
        <f>6794.33+407.66</f>
        <v/>
      </c>
      <c r="F14" s="349">
        <f>6794.33+407.66</f>
        <v/>
      </c>
      <c r="G14" s="349">
        <f>6794.33+407.66</f>
        <v/>
      </c>
      <c r="H14" s="349">
        <f>6794.33+407.66</f>
        <v/>
      </c>
      <c r="I14" s="349">
        <f>6794.33+407.66</f>
        <v/>
      </c>
      <c r="J14" s="349">
        <f>6794.33+407.66</f>
        <v/>
      </c>
      <c r="K14" s="349">
        <f>6794.33+407.66</f>
        <v/>
      </c>
      <c r="L14" s="349">
        <f>6794.33+407.66</f>
        <v/>
      </c>
      <c r="M14" s="349">
        <f>6794.33+407.66</f>
        <v/>
      </c>
      <c r="N14" s="349">
        <f>6794.33+407.66</f>
        <v/>
      </c>
      <c r="O14" s="349">
        <f>6794.33+407.66</f>
        <v/>
      </c>
      <c r="P14" s="349">
        <f>6794.33+407.66</f>
        <v/>
      </c>
      <c r="Q14" s="349">
        <f>6794.33+407.66</f>
        <v/>
      </c>
      <c r="R14" s="349">
        <f>6794.33+407.66</f>
        <v/>
      </c>
      <c r="S14" s="349">
        <f>6794.33+407.66</f>
        <v/>
      </c>
      <c r="T14" s="349">
        <f>6794.33+407.66</f>
        <v/>
      </c>
      <c r="U14" s="349">
        <f>6794.33+407.66</f>
        <v/>
      </c>
      <c r="V14" s="349">
        <f>6794.33+407.66</f>
        <v/>
      </c>
      <c r="W14" s="349">
        <f>6794.33+407.66</f>
        <v/>
      </c>
      <c r="X14" s="349">
        <f>6794.33+407.66</f>
        <v/>
      </c>
      <c r="Y14" s="349">
        <f>6794.33+407.66</f>
        <v/>
      </c>
      <c r="Z14" s="349">
        <f>6794.33+407.66</f>
        <v/>
      </c>
      <c r="AA14" s="349">
        <f>6794.33+407.66</f>
        <v/>
      </c>
      <c r="AB14" s="349">
        <f>6794.33+407.66</f>
        <v/>
      </c>
      <c r="AC14" s="349">
        <f>6794.33+407.66</f>
        <v/>
      </c>
      <c r="AD14" s="349">
        <f>6794.33+407.66</f>
        <v/>
      </c>
      <c r="AE14" s="349">
        <f>6794.33+407.66</f>
        <v/>
      </c>
      <c r="AF14" s="349">
        <f>6794.33+407.66</f>
        <v/>
      </c>
      <c r="AG14" s="349">
        <f>6794.33+407.66</f>
        <v/>
      </c>
      <c r="AH14" s="349">
        <f>6794.33+407.66</f>
        <v/>
      </c>
      <c r="AI14" s="349">
        <f>6794.33+407.66</f>
        <v/>
      </c>
      <c r="AJ14" s="349">
        <f>6794.33+407.66</f>
        <v/>
      </c>
      <c r="AK14" s="349">
        <f>6794.33+407.66</f>
        <v/>
      </c>
      <c r="AL14" s="349">
        <f>6794.33+407.66</f>
        <v/>
      </c>
      <c r="AM14" s="349">
        <f>6794.33+407.66</f>
        <v/>
      </c>
      <c r="AN14" s="349">
        <f>6794.33+407.66</f>
        <v/>
      </c>
      <c r="AO14" s="349">
        <f>6794.33+407.66</f>
        <v/>
      </c>
      <c r="AP14" s="349">
        <f>6794.33+407.66</f>
        <v/>
      </c>
      <c r="AQ14" s="349">
        <f>6794.33+407.66</f>
        <v/>
      </c>
      <c r="AR14" s="349">
        <f>6794.33+407.66</f>
        <v/>
      </c>
      <c r="AS14" s="349">
        <f>6794.33+407.66</f>
        <v/>
      </c>
      <c r="AT14" s="349">
        <f>6794.33+407.66</f>
        <v/>
      </c>
      <c r="AU14" s="349">
        <f>6794.33+407.66</f>
        <v/>
      </c>
      <c r="AV14" s="349">
        <f>6794.33+407.66</f>
        <v/>
      </c>
      <c r="AW14" s="349">
        <f>6794.33+407.66</f>
        <v/>
      </c>
      <c r="AX14" s="349">
        <f>6794.33+407.66</f>
        <v/>
      </c>
      <c r="AY14" s="349">
        <f>6794.33+407.66</f>
        <v/>
      </c>
      <c r="AZ14" s="349">
        <f>6794.33+407.66</f>
        <v/>
      </c>
      <c r="BA14" s="349">
        <f>6794.33+407.66</f>
        <v/>
      </c>
      <c r="BB14" s="349">
        <f>6794.33+407.66</f>
        <v/>
      </c>
      <c r="BC14" s="349">
        <f>6794.33+407.66</f>
        <v/>
      </c>
      <c r="BD14" s="349">
        <f>6794.33+407.66</f>
        <v/>
      </c>
      <c r="BE14" s="349">
        <f>6794.33+407.66</f>
        <v/>
      </c>
      <c r="BF14" s="349">
        <f>6794.33+407.66</f>
        <v/>
      </c>
      <c r="BG14" s="349">
        <f>6794.33+407.66</f>
        <v/>
      </c>
      <c r="BH14" s="349">
        <f>6794.33+407.66</f>
        <v/>
      </c>
      <c r="BI14" s="349">
        <f>6794.33+407.66</f>
        <v/>
      </c>
      <c r="BJ14" s="349">
        <f>6794.33+407.66</f>
        <v/>
      </c>
      <c r="BK14" s="349">
        <f>6794.33+407.66</f>
        <v/>
      </c>
      <c r="BL14" s="349">
        <f>6794.33+407.66</f>
        <v/>
      </c>
      <c r="BM14" s="350">
        <f>SUM(E14:BL14)</f>
        <v/>
      </c>
    </row>
    <row r="15" ht="13.7" customFormat="1" customHeight="1" s="54">
      <c r="A15" s="48">
        <f>A14+1</f>
        <v/>
      </c>
      <c r="B15" s="287" t="inlineStr">
        <is>
          <t>Alexandre Gonçalves</t>
        </is>
      </c>
      <c r="C15" s="257" t="n"/>
      <c r="D15" s="255" t="n"/>
      <c r="E15" s="349">
        <f>6153.88+369.23</f>
        <v/>
      </c>
      <c r="F15" s="349">
        <f>6153.88+369.23</f>
        <v/>
      </c>
      <c r="G15" s="349">
        <f>6153.88+369.23</f>
        <v/>
      </c>
      <c r="H15" s="349">
        <f>6153.88+369.23</f>
        <v/>
      </c>
      <c r="I15" s="349">
        <f>6153.88+369.23</f>
        <v/>
      </c>
      <c r="J15" s="349">
        <f>6153.88+369.23</f>
        <v/>
      </c>
      <c r="K15" s="349">
        <f>6153.88+369.23</f>
        <v/>
      </c>
      <c r="L15" s="349">
        <f>6153.88+369.23</f>
        <v/>
      </c>
      <c r="M15" s="349">
        <f>6153.88+369.23</f>
        <v/>
      </c>
      <c r="N15" s="349">
        <f>6153.88+369.23</f>
        <v/>
      </c>
      <c r="O15" s="349">
        <f>6153.88+369.23</f>
        <v/>
      </c>
      <c r="P15" s="349">
        <f>6153.88+369.23</f>
        <v/>
      </c>
      <c r="Q15" s="349">
        <f>6153.88+369.23</f>
        <v/>
      </c>
      <c r="R15" s="349">
        <f>6153.88+369.23</f>
        <v/>
      </c>
      <c r="S15" s="349">
        <f>6153.88+369.23</f>
        <v/>
      </c>
      <c r="T15" s="349">
        <f>6153.88+369.23</f>
        <v/>
      </c>
      <c r="U15" s="349">
        <f>6153.88+369.23</f>
        <v/>
      </c>
      <c r="V15" s="349">
        <f>6153.88+369.23</f>
        <v/>
      </c>
      <c r="W15" s="349">
        <f>6153.88+369.23</f>
        <v/>
      </c>
      <c r="X15" s="349">
        <f>6153.88+369.23</f>
        <v/>
      </c>
      <c r="Y15" s="349">
        <f>6153.88+369.23</f>
        <v/>
      </c>
      <c r="Z15" s="349">
        <f>6153.88+369.23</f>
        <v/>
      </c>
      <c r="AA15" s="349">
        <f>6153.88+369.23</f>
        <v/>
      </c>
      <c r="AB15" s="349">
        <f>6153.88+369.23</f>
        <v/>
      </c>
      <c r="AC15" s="349">
        <f>6153.88+369.23</f>
        <v/>
      </c>
      <c r="AD15" s="349">
        <f>6153.88+369.23</f>
        <v/>
      </c>
      <c r="AE15" s="349">
        <f>6153.88+369.23</f>
        <v/>
      </c>
      <c r="AF15" s="349">
        <f>6153.88+369.23</f>
        <v/>
      </c>
      <c r="AG15" s="349">
        <f>6153.88+369.23</f>
        <v/>
      </c>
      <c r="AH15" s="349">
        <f>6153.88+369.23</f>
        <v/>
      </c>
      <c r="AI15" s="349">
        <f>6153.88+369.23</f>
        <v/>
      </c>
      <c r="AJ15" s="349">
        <f>6153.88+369.23</f>
        <v/>
      </c>
      <c r="AK15" s="349">
        <f>6153.88+369.23</f>
        <v/>
      </c>
      <c r="AL15" s="349">
        <f>6153.88+369.23</f>
        <v/>
      </c>
      <c r="AM15" s="349">
        <f>6153.88+369.23</f>
        <v/>
      </c>
      <c r="AN15" s="349">
        <f>6153.88+369.23</f>
        <v/>
      </c>
      <c r="AO15" s="349">
        <f>6153.88+369.23</f>
        <v/>
      </c>
      <c r="AP15" s="349">
        <f>6153.88+369.23</f>
        <v/>
      </c>
      <c r="AQ15" s="349">
        <f>6153.88+369.23</f>
        <v/>
      </c>
      <c r="AR15" s="349">
        <f>6153.88+369.23</f>
        <v/>
      </c>
      <c r="AS15" s="349">
        <f>6153.88+369.23</f>
        <v/>
      </c>
      <c r="AT15" s="349">
        <f>6153.88+369.23</f>
        <v/>
      </c>
      <c r="AU15" s="349">
        <f>6153.88+369.23</f>
        <v/>
      </c>
      <c r="AV15" s="349">
        <f>6153.88+369.23</f>
        <v/>
      </c>
      <c r="AW15" s="349">
        <f>6153.88+369.23</f>
        <v/>
      </c>
      <c r="AX15" s="349">
        <f>6153.88+369.23</f>
        <v/>
      </c>
      <c r="AY15" s="349">
        <f>6153.88+369.23</f>
        <v/>
      </c>
      <c r="AZ15" s="349">
        <f>6153.88+369.23</f>
        <v/>
      </c>
      <c r="BA15" s="349">
        <f>6153.88+369.23</f>
        <v/>
      </c>
      <c r="BB15" s="349">
        <f>6153.88+369.23</f>
        <v/>
      </c>
      <c r="BC15" s="349">
        <f>6153.88+369.23</f>
        <v/>
      </c>
      <c r="BD15" s="349">
        <f>6153.88+369.23</f>
        <v/>
      </c>
      <c r="BE15" s="349">
        <f>6153.88+369.23</f>
        <v/>
      </c>
      <c r="BF15" s="349">
        <f>6153.88+369.23</f>
        <v/>
      </c>
      <c r="BG15" s="349">
        <f>6153.88+369.23</f>
        <v/>
      </c>
      <c r="BH15" s="349">
        <f>6153.88+369.23</f>
        <v/>
      </c>
      <c r="BI15" s="349">
        <f>6153.88+369.23</f>
        <v/>
      </c>
      <c r="BJ15" s="349">
        <f>6153.88+369.23</f>
        <v/>
      </c>
      <c r="BK15" s="349">
        <f>6153.88+369.23</f>
        <v/>
      </c>
      <c r="BL15" s="349">
        <f>6153.88+369.23</f>
        <v/>
      </c>
      <c r="BM15" s="350">
        <f>SUM(E15:BL15)</f>
        <v/>
      </c>
    </row>
    <row r="16" ht="13.7" customFormat="1" customHeight="1" s="54">
      <c r="A16" s="48">
        <f>A15+1</f>
        <v/>
      </c>
      <c r="B16" s="287" t="inlineStr">
        <is>
          <t>Aline Martins de Souza</t>
        </is>
      </c>
      <c r="C16" s="257" t="n"/>
      <c r="D16" s="255" t="n"/>
      <c r="E16" s="349">
        <f>5335.31+320.12</f>
        <v/>
      </c>
      <c r="F16" s="349">
        <f>5335.31+320.12</f>
        <v/>
      </c>
      <c r="G16" s="349">
        <f>5335.31+320.12</f>
        <v/>
      </c>
      <c r="H16" s="349">
        <f>5335.31+320.12</f>
        <v/>
      </c>
      <c r="I16" s="349">
        <f>5335.31+320.12</f>
        <v/>
      </c>
      <c r="J16" s="349">
        <f>5335.31+320.12</f>
        <v/>
      </c>
      <c r="K16" s="349">
        <f>5335.31+320.12</f>
        <v/>
      </c>
      <c r="L16" s="349">
        <f>5335.31+320.12</f>
        <v/>
      </c>
      <c r="M16" s="349">
        <f>5335.31+320.12</f>
        <v/>
      </c>
      <c r="N16" s="349">
        <f>5335.31+320.12</f>
        <v/>
      </c>
      <c r="O16" s="349">
        <f>5335.31+320.12</f>
        <v/>
      </c>
      <c r="P16" s="349">
        <f>5335.31+320.12</f>
        <v/>
      </c>
      <c r="Q16" s="349">
        <f>5335.31+320.12</f>
        <v/>
      </c>
      <c r="R16" s="349">
        <f>5335.31+320.12</f>
        <v/>
      </c>
      <c r="S16" s="349">
        <f>5335.31+320.12</f>
        <v/>
      </c>
      <c r="T16" s="349">
        <f>5335.31+320.12</f>
        <v/>
      </c>
      <c r="U16" s="349">
        <f>5335.31+320.12</f>
        <v/>
      </c>
      <c r="V16" s="349">
        <f>5335.31+320.12</f>
        <v/>
      </c>
      <c r="W16" s="349">
        <f>5335.31+320.12</f>
        <v/>
      </c>
      <c r="X16" s="349">
        <f>5335.31+320.12</f>
        <v/>
      </c>
      <c r="Y16" s="349">
        <f>5335.31+320.12</f>
        <v/>
      </c>
      <c r="Z16" s="349">
        <f>5335.31+320.12</f>
        <v/>
      </c>
      <c r="AA16" s="349">
        <f>5335.31+320.12</f>
        <v/>
      </c>
      <c r="AB16" s="349">
        <f>5335.31+320.12</f>
        <v/>
      </c>
      <c r="AC16" s="349">
        <f>5335.31+320.12</f>
        <v/>
      </c>
      <c r="AD16" s="349">
        <f>5335.31+320.12</f>
        <v/>
      </c>
      <c r="AE16" s="349">
        <f>5335.31+320.12</f>
        <v/>
      </c>
      <c r="AF16" s="349">
        <f>5335.31+320.12</f>
        <v/>
      </c>
      <c r="AG16" s="349">
        <f>5335.31+320.12</f>
        <v/>
      </c>
      <c r="AH16" s="349">
        <f>5335.31+320.12</f>
        <v/>
      </c>
      <c r="AI16" s="349">
        <f>5335.31+320.12</f>
        <v/>
      </c>
      <c r="AJ16" s="349">
        <f>5335.31+320.12</f>
        <v/>
      </c>
      <c r="AK16" s="349">
        <f>5335.31+320.12</f>
        <v/>
      </c>
      <c r="AL16" s="349">
        <f>5335.31+320.12</f>
        <v/>
      </c>
      <c r="AM16" s="349">
        <f>5335.31+320.12</f>
        <v/>
      </c>
      <c r="AN16" s="349">
        <f>5335.31+320.12</f>
        <v/>
      </c>
      <c r="AO16" s="349">
        <f>5335.31+320.12</f>
        <v/>
      </c>
      <c r="AP16" s="349">
        <f>5335.31+320.12</f>
        <v/>
      </c>
      <c r="AQ16" s="349">
        <f>5335.31+320.12</f>
        <v/>
      </c>
      <c r="AR16" s="349">
        <f>5335.31+320.12</f>
        <v/>
      </c>
      <c r="AS16" s="349">
        <f>5335.31+320.12</f>
        <v/>
      </c>
      <c r="AT16" s="349">
        <f>5335.31+320.12</f>
        <v/>
      </c>
      <c r="AU16" s="349">
        <f>5335.31+320.12</f>
        <v/>
      </c>
      <c r="AV16" s="349">
        <f>5335.31+320.12</f>
        <v/>
      </c>
      <c r="AW16" s="349">
        <f>5335.31+320.12</f>
        <v/>
      </c>
      <c r="AX16" s="349">
        <f>5335.31+320.12</f>
        <v/>
      </c>
      <c r="AY16" s="349">
        <f>5335.31+320.12</f>
        <v/>
      </c>
      <c r="AZ16" s="349">
        <f>5335.31+320.12</f>
        <v/>
      </c>
      <c r="BA16" s="349">
        <f>5335.31+320.12</f>
        <v/>
      </c>
      <c r="BB16" s="349">
        <f>5335.31+320.12</f>
        <v/>
      </c>
      <c r="BC16" s="349">
        <f>5335.31+320.12</f>
        <v/>
      </c>
      <c r="BD16" s="349">
        <f>5335.31+320.12</f>
        <v/>
      </c>
      <c r="BE16" s="349">
        <f>5335.31+320.12</f>
        <v/>
      </c>
      <c r="BF16" s="349">
        <f>5335.31+320.12</f>
        <v/>
      </c>
      <c r="BG16" s="349">
        <f>5335.31+320.12</f>
        <v/>
      </c>
      <c r="BH16" s="349">
        <f>5335.31+320.12</f>
        <v/>
      </c>
      <c r="BI16" s="349">
        <f>5335.31+320.12</f>
        <v/>
      </c>
      <c r="BJ16" s="349">
        <f>5335.31+320.12</f>
        <v/>
      </c>
      <c r="BK16" s="349">
        <f>5335.31+320.12</f>
        <v/>
      </c>
      <c r="BL16" s="349">
        <f>5335.31+320.12</f>
        <v/>
      </c>
      <c r="BM16" s="350">
        <f>SUM(E16:BL16)</f>
        <v/>
      </c>
    </row>
    <row r="17" ht="13.7" customFormat="1" customHeight="1" s="54">
      <c r="A17" s="48">
        <f>A16+1</f>
        <v/>
      </c>
      <c r="B17" s="287" t="inlineStr">
        <is>
          <t>Daniel Vieira Machado</t>
        </is>
      </c>
      <c r="C17" s="257" t="n"/>
      <c r="D17" s="255" t="n"/>
      <c r="E17" s="349">
        <f>12893.4</f>
        <v/>
      </c>
      <c r="F17" s="349">
        <f>12893.4</f>
        <v/>
      </c>
      <c r="G17" s="349">
        <f>12893.4</f>
        <v/>
      </c>
      <c r="H17" s="349">
        <f>12893.4</f>
        <v/>
      </c>
      <c r="I17" s="349">
        <f>12893.4</f>
        <v/>
      </c>
      <c r="J17" s="349">
        <f>12893.4</f>
        <v/>
      </c>
      <c r="K17" s="349">
        <f>12893.4</f>
        <v/>
      </c>
      <c r="L17" s="349">
        <f>12893.4</f>
        <v/>
      </c>
      <c r="M17" s="349">
        <f>12893.4</f>
        <v/>
      </c>
      <c r="N17" s="349">
        <f>12893.4</f>
        <v/>
      </c>
      <c r="O17" s="349">
        <f>12893.4</f>
        <v/>
      </c>
      <c r="P17" s="349">
        <f>12893.4</f>
        <v/>
      </c>
      <c r="Q17" s="349">
        <f>12893.4</f>
        <v/>
      </c>
      <c r="R17" s="349">
        <f>12893.4</f>
        <v/>
      </c>
      <c r="S17" s="349">
        <f>12893.4</f>
        <v/>
      </c>
      <c r="T17" s="349">
        <f>12893.4</f>
        <v/>
      </c>
      <c r="U17" s="349">
        <f>12893.4</f>
        <v/>
      </c>
      <c r="V17" s="349">
        <f>12893.4</f>
        <v/>
      </c>
      <c r="W17" s="349">
        <f>12893.4</f>
        <v/>
      </c>
      <c r="X17" s="349">
        <f>12893.4</f>
        <v/>
      </c>
      <c r="Y17" s="349">
        <f>12893.4</f>
        <v/>
      </c>
      <c r="Z17" s="349">
        <f>12893.4</f>
        <v/>
      </c>
      <c r="AA17" s="349">
        <f>12893.4</f>
        <v/>
      </c>
      <c r="AB17" s="349">
        <f>12893.4</f>
        <v/>
      </c>
      <c r="AC17" s="349">
        <f>12893.4</f>
        <v/>
      </c>
      <c r="AD17" s="349">
        <f>12893.4</f>
        <v/>
      </c>
      <c r="AE17" s="349">
        <f>12893.4</f>
        <v/>
      </c>
      <c r="AF17" s="349">
        <f>12893.4</f>
        <v/>
      </c>
      <c r="AG17" s="349">
        <f>12893.4</f>
        <v/>
      </c>
      <c r="AH17" s="349">
        <f>12893.4</f>
        <v/>
      </c>
      <c r="AI17" s="349">
        <f>12893.4</f>
        <v/>
      </c>
      <c r="AJ17" s="349">
        <f>12893.4</f>
        <v/>
      </c>
      <c r="AK17" s="349">
        <f>12893.4</f>
        <v/>
      </c>
      <c r="AL17" s="349">
        <f>12893.4</f>
        <v/>
      </c>
      <c r="AM17" s="349">
        <f>12893.4</f>
        <v/>
      </c>
      <c r="AN17" s="349">
        <f>12893.4</f>
        <v/>
      </c>
      <c r="AO17" s="349">
        <f>12893.4</f>
        <v/>
      </c>
      <c r="AP17" s="349">
        <f>12893.4</f>
        <v/>
      </c>
      <c r="AQ17" s="349">
        <f>12893.4</f>
        <v/>
      </c>
      <c r="AR17" s="349">
        <f>12893.4</f>
        <v/>
      </c>
      <c r="AS17" s="349">
        <f>12893.4</f>
        <v/>
      </c>
      <c r="AT17" s="349">
        <f>12893.4</f>
        <v/>
      </c>
      <c r="AU17" s="349">
        <f>12893.4</f>
        <v/>
      </c>
      <c r="AV17" s="349">
        <f>12893.4</f>
        <v/>
      </c>
      <c r="AW17" s="349">
        <f>12893.4</f>
        <v/>
      </c>
      <c r="AX17" s="349">
        <f>12893.4</f>
        <v/>
      </c>
      <c r="AY17" s="349">
        <f>12893.4</f>
        <v/>
      </c>
      <c r="AZ17" s="349">
        <f>12893.4</f>
        <v/>
      </c>
      <c r="BA17" s="349">
        <f>12893.4</f>
        <v/>
      </c>
      <c r="BB17" s="349">
        <f>12893.4</f>
        <v/>
      </c>
      <c r="BC17" s="349">
        <f>12893.4</f>
        <v/>
      </c>
      <c r="BD17" s="349">
        <f>12893.4</f>
        <v/>
      </c>
      <c r="BE17" s="349">
        <f>12893.4</f>
        <v/>
      </c>
      <c r="BF17" s="349">
        <f>12893.4</f>
        <v/>
      </c>
      <c r="BG17" s="349">
        <f>12893.4</f>
        <v/>
      </c>
      <c r="BH17" s="349">
        <f>12893.4</f>
        <v/>
      </c>
      <c r="BI17" s="349">
        <f>12893.4</f>
        <v/>
      </c>
      <c r="BJ17" s="349">
        <f>12893.4</f>
        <v/>
      </c>
      <c r="BK17" s="349">
        <f>12893.4</f>
        <v/>
      </c>
      <c r="BL17" s="349">
        <f>12893.4</f>
        <v/>
      </c>
      <c r="BM17" s="350">
        <f>SUM(E17:BL17)</f>
        <v/>
      </c>
    </row>
    <row r="18" ht="13.7" customFormat="1" customHeight="1" s="54">
      <c r="A18" s="48">
        <f>A17+1</f>
        <v/>
      </c>
      <c r="B18" s="287" t="inlineStr">
        <is>
          <t>Danilo Franklin Leite Lopes</t>
        </is>
      </c>
      <c r="C18" s="257" t="n"/>
      <c r="D18" s="255" t="n"/>
      <c r="E18" s="349">
        <f>7551.52</f>
        <v/>
      </c>
      <c r="F18" s="349">
        <f>7551.52</f>
        <v/>
      </c>
      <c r="G18" s="349">
        <f>7551.52</f>
        <v/>
      </c>
      <c r="H18" s="349">
        <f>7551.52</f>
        <v/>
      </c>
      <c r="I18" s="349">
        <f>7551.52</f>
        <v/>
      </c>
      <c r="J18" s="349">
        <f>7551.52</f>
        <v/>
      </c>
      <c r="K18" s="349">
        <f>7551.52</f>
        <v/>
      </c>
      <c r="L18" s="349">
        <f>7551.52</f>
        <v/>
      </c>
      <c r="M18" s="349">
        <f>7551.52</f>
        <v/>
      </c>
      <c r="N18" s="349">
        <f>7551.52</f>
        <v/>
      </c>
      <c r="O18" s="349">
        <f>7551.52</f>
        <v/>
      </c>
      <c r="P18" s="349">
        <f>7551.52</f>
        <v/>
      </c>
      <c r="Q18" s="349">
        <f>7551.52</f>
        <v/>
      </c>
      <c r="R18" s="349">
        <f>7551.52</f>
        <v/>
      </c>
      <c r="S18" s="349">
        <f>7551.52</f>
        <v/>
      </c>
      <c r="T18" s="349">
        <f>7551.52</f>
        <v/>
      </c>
      <c r="U18" s="349">
        <f>7551.52</f>
        <v/>
      </c>
      <c r="V18" s="349">
        <f>7551.52</f>
        <v/>
      </c>
      <c r="W18" s="349">
        <f>7551.52</f>
        <v/>
      </c>
      <c r="X18" s="349">
        <f>7551.52</f>
        <v/>
      </c>
      <c r="Y18" s="349">
        <f>7551.52</f>
        <v/>
      </c>
      <c r="Z18" s="349">
        <f>7551.52</f>
        <v/>
      </c>
      <c r="AA18" s="349">
        <f>7551.52</f>
        <v/>
      </c>
      <c r="AB18" s="349">
        <f>7551.52</f>
        <v/>
      </c>
      <c r="AC18" s="349">
        <f>7551.52</f>
        <v/>
      </c>
      <c r="AD18" s="349">
        <f>7551.52</f>
        <v/>
      </c>
      <c r="AE18" s="349">
        <f>7551.52</f>
        <v/>
      </c>
      <c r="AF18" s="349">
        <f>7551.52</f>
        <v/>
      </c>
      <c r="AG18" s="349">
        <f>7551.52</f>
        <v/>
      </c>
      <c r="AH18" s="349">
        <f>7551.52</f>
        <v/>
      </c>
      <c r="AI18" s="349">
        <f>7551.52</f>
        <v/>
      </c>
      <c r="AJ18" s="349">
        <f>7551.52</f>
        <v/>
      </c>
      <c r="AK18" s="349">
        <f>7551.52</f>
        <v/>
      </c>
      <c r="AL18" s="349">
        <f>7551.52</f>
        <v/>
      </c>
      <c r="AM18" s="349">
        <f>7551.52</f>
        <v/>
      </c>
      <c r="AN18" s="349">
        <f>7551.52</f>
        <v/>
      </c>
      <c r="AO18" s="349">
        <f>7551.52</f>
        <v/>
      </c>
      <c r="AP18" s="349">
        <f>7551.52</f>
        <v/>
      </c>
      <c r="AQ18" s="349">
        <f>7551.52</f>
        <v/>
      </c>
      <c r="AR18" s="349">
        <f>7551.52</f>
        <v/>
      </c>
      <c r="AS18" s="349">
        <f>7551.52</f>
        <v/>
      </c>
      <c r="AT18" s="349">
        <f>7551.52</f>
        <v/>
      </c>
      <c r="AU18" s="349">
        <f>7551.52</f>
        <v/>
      </c>
      <c r="AV18" s="349">
        <f>7551.52</f>
        <v/>
      </c>
      <c r="AW18" s="349">
        <f>7551.52</f>
        <v/>
      </c>
      <c r="AX18" s="349">
        <f>7551.52</f>
        <v/>
      </c>
      <c r="AY18" s="349">
        <f>7551.52</f>
        <v/>
      </c>
      <c r="AZ18" s="349">
        <f>7551.52</f>
        <v/>
      </c>
      <c r="BA18" s="349">
        <f>7551.52</f>
        <v/>
      </c>
      <c r="BB18" s="349">
        <f>7551.52</f>
        <v/>
      </c>
      <c r="BC18" s="349">
        <f>7551.52</f>
        <v/>
      </c>
      <c r="BD18" s="349">
        <f>7551.52</f>
        <v/>
      </c>
      <c r="BE18" s="349">
        <f>7551.52</f>
        <v/>
      </c>
      <c r="BF18" s="349">
        <f>7551.52</f>
        <v/>
      </c>
      <c r="BG18" s="349">
        <f>7551.52</f>
        <v/>
      </c>
      <c r="BH18" s="349">
        <f>7551.52</f>
        <v/>
      </c>
      <c r="BI18" s="349">
        <f>7551.52</f>
        <v/>
      </c>
      <c r="BJ18" s="349">
        <f>7551.52</f>
        <v/>
      </c>
      <c r="BK18" s="349">
        <f>7551.52</f>
        <v/>
      </c>
      <c r="BL18" s="349">
        <f>7551.52</f>
        <v/>
      </c>
      <c r="BM18" s="350">
        <f>SUM(E18:BL18)</f>
        <v/>
      </c>
    </row>
    <row r="19" ht="13.7" customFormat="1" customHeight="1" s="54">
      <c r="A19" s="48">
        <f>A18+1</f>
        <v/>
      </c>
      <c r="B19" s="287" t="inlineStr">
        <is>
          <t>Débora Machado Gonçalves</t>
        </is>
      </c>
      <c r="C19" s="257" t="n"/>
      <c r="D19" s="255" t="n"/>
      <c r="E19" s="349">
        <f>5635.44</f>
        <v/>
      </c>
      <c r="F19" s="349">
        <f>5635.44</f>
        <v/>
      </c>
      <c r="G19" s="349">
        <f>5635.44</f>
        <v/>
      </c>
      <c r="H19" s="349">
        <f>5635.44</f>
        <v/>
      </c>
      <c r="I19" s="349">
        <f>5635.44</f>
        <v/>
      </c>
      <c r="J19" s="349">
        <f>5635.44</f>
        <v/>
      </c>
      <c r="K19" s="349">
        <f>5635.44</f>
        <v/>
      </c>
      <c r="L19" s="349">
        <f>5635.44</f>
        <v/>
      </c>
      <c r="M19" s="349">
        <f>5635.44</f>
        <v/>
      </c>
      <c r="N19" s="349">
        <f>5635.44</f>
        <v/>
      </c>
      <c r="O19" s="349">
        <f>5635.44</f>
        <v/>
      </c>
      <c r="P19" s="349">
        <f>5635.44</f>
        <v/>
      </c>
      <c r="Q19" s="349">
        <f>5635.44</f>
        <v/>
      </c>
      <c r="R19" s="349">
        <f>5635.44</f>
        <v/>
      </c>
      <c r="S19" s="349">
        <f>5635.44</f>
        <v/>
      </c>
      <c r="T19" s="349">
        <f>5635.44</f>
        <v/>
      </c>
      <c r="U19" s="349">
        <f>5635.44</f>
        <v/>
      </c>
      <c r="V19" s="349">
        <f>5635.44</f>
        <v/>
      </c>
      <c r="W19" s="349">
        <f>5635.44</f>
        <v/>
      </c>
      <c r="X19" s="349">
        <f>5635.44</f>
        <v/>
      </c>
      <c r="Y19" s="349">
        <f>5635.44</f>
        <v/>
      </c>
      <c r="Z19" s="349">
        <f>5635.44</f>
        <v/>
      </c>
      <c r="AA19" s="349">
        <f>5635.44</f>
        <v/>
      </c>
      <c r="AB19" s="349">
        <f>5635.44</f>
        <v/>
      </c>
      <c r="AC19" s="349">
        <f>5635.44</f>
        <v/>
      </c>
      <c r="AD19" s="349">
        <f>5635.44</f>
        <v/>
      </c>
      <c r="AE19" s="349">
        <f>5635.44</f>
        <v/>
      </c>
      <c r="AF19" s="349">
        <f>5635.44</f>
        <v/>
      </c>
      <c r="AG19" s="349">
        <f>5635.44</f>
        <v/>
      </c>
      <c r="AH19" s="349">
        <f>5635.44</f>
        <v/>
      </c>
      <c r="AI19" s="349">
        <f>5635.44</f>
        <v/>
      </c>
      <c r="AJ19" s="349">
        <f>5635.44</f>
        <v/>
      </c>
      <c r="AK19" s="349">
        <f>5635.44</f>
        <v/>
      </c>
      <c r="AL19" s="349">
        <f>5635.44</f>
        <v/>
      </c>
      <c r="AM19" s="349">
        <f>5635.44</f>
        <v/>
      </c>
      <c r="AN19" s="349">
        <f>5635.44</f>
        <v/>
      </c>
      <c r="AO19" s="349">
        <f>5635.44</f>
        <v/>
      </c>
      <c r="AP19" s="349">
        <f>5635.44</f>
        <v/>
      </c>
      <c r="AQ19" s="349">
        <f>5635.44</f>
        <v/>
      </c>
      <c r="AR19" s="349">
        <f>5635.44</f>
        <v/>
      </c>
      <c r="AS19" s="349">
        <f>5635.44</f>
        <v/>
      </c>
      <c r="AT19" s="349">
        <f>5635.44</f>
        <v/>
      </c>
      <c r="AU19" s="349">
        <f>5635.44</f>
        <v/>
      </c>
      <c r="AV19" s="349">
        <f>5635.44</f>
        <v/>
      </c>
      <c r="AW19" s="349">
        <f>5635.44</f>
        <v/>
      </c>
      <c r="AX19" s="349">
        <f>5635.44</f>
        <v/>
      </c>
      <c r="AY19" s="349">
        <f>5635.44</f>
        <v/>
      </c>
      <c r="AZ19" s="349">
        <f>5635.44</f>
        <v/>
      </c>
      <c r="BA19" s="349">
        <f>5635.44</f>
        <v/>
      </c>
      <c r="BB19" s="349">
        <f>5635.44</f>
        <v/>
      </c>
      <c r="BC19" s="349">
        <f>5635.44</f>
        <v/>
      </c>
      <c r="BD19" s="349">
        <f>5635.44</f>
        <v/>
      </c>
      <c r="BE19" s="349">
        <f>5635.44</f>
        <v/>
      </c>
      <c r="BF19" s="349">
        <f>5635.44</f>
        <v/>
      </c>
      <c r="BG19" s="349">
        <f>5635.44</f>
        <v/>
      </c>
      <c r="BH19" s="349">
        <f>5635.44</f>
        <v/>
      </c>
      <c r="BI19" s="349">
        <f>5635.44</f>
        <v/>
      </c>
      <c r="BJ19" s="349">
        <f>5635.44</f>
        <v/>
      </c>
      <c r="BK19" s="349">
        <f>5635.44</f>
        <v/>
      </c>
      <c r="BL19" s="349">
        <f>5635.44</f>
        <v/>
      </c>
      <c r="BM19" s="350">
        <f>SUM(E19:BL19)</f>
        <v/>
      </c>
    </row>
    <row r="20" ht="13.7" customFormat="1" customHeight="1" s="54">
      <c r="A20" s="48">
        <f>A19+1</f>
        <v/>
      </c>
      <c r="B20" s="287" t="inlineStr">
        <is>
          <t>Deucélia Eva Pedroso</t>
        </is>
      </c>
      <c r="C20" s="257" t="n"/>
      <c r="D20" s="255" t="n"/>
      <c r="E20" s="349">
        <f>14406.21+864.37</f>
        <v/>
      </c>
      <c r="F20" s="349">
        <f>14406.21+864.37</f>
        <v/>
      </c>
      <c r="G20" s="349">
        <f>14406.21+864.37</f>
        <v/>
      </c>
      <c r="H20" s="349">
        <f>14406.21+864.37</f>
        <v/>
      </c>
      <c r="I20" s="349">
        <f>14406.21+864.37</f>
        <v/>
      </c>
      <c r="J20" s="349">
        <f>14406.21+864.37</f>
        <v/>
      </c>
      <c r="K20" s="349">
        <f>14406.21+864.37</f>
        <v/>
      </c>
      <c r="L20" s="349">
        <f>14406.21+864.37</f>
        <v/>
      </c>
      <c r="M20" s="349">
        <f>14406.21+864.37</f>
        <v/>
      </c>
      <c r="N20" s="349">
        <f>14406.21+864.37</f>
        <v/>
      </c>
      <c r="O20" s="349">
        <f>14406.21+864.37</f>
        <v/>
      </c>
      <c r="P20" s="349">
        <f>14406.21+864.37</f>
        <v/>
      </c>
      <c r="Q20" s="349">
        <f>14406.21+864.37</f>
        <v/>
      </c>
      <c r="R20" s="349">
        <f>14406.21+864.37</f>
        <v/>
      </c>
      <c r="S20" s="349">
        <f>14406.21+864.37</f>
        <v/>
      </c>
      <c r="T20" s="349">
        <f>14406.21+864.37</f>
        <v/>
      </c>
      <c r="U20" s="349">
        <f>14406.21+864.37</f>
        <v/>
      </c>
      <c r="V20" s="349">
        <f>14406.21+864.37</f>
        <v/>
      </c>
      <c r="W20" s="349">
        <f>14406.21+864.37</f>
        <v/>
      </c>
      <c r="X20" s="349">
        <f>14406.21+864.37</f>
        <v/>
      </c>
      <c r="Y20" s="349">
        <f>14406.21+864.37</f>
        <v/>
      </c>
      <c r="Z20" s="349">
        <f>14406.21+864.37</f>
        <v/>
      </c>
      <c r="AA20" s="349">
        <f>14406.21+864.37</f>
        <v/>
      </c>
      <c r="AB20" s="349">
        <f>14406.21+864.37</f>
        <v/>
      </c>
      <c r="AC20" s="349">
        <f>14406.21+864.37</f>
        <v/>
      </c>
      <c r="AD20" s="349">
        <f>14406.21+864.37</f>
        <v/>
      </c>
      <c r="AE20" s="349">
        <f>14406.21+864.37</f>
        <v/>
      </c>
      <c r="AF20" s="349">
        <f>14406.21+864.37</f>
        <v/>
      </c>
      <c r="AG20" s="349">
        <f>14406.21+864.37</f>
        <v/>
      </c>
      <c r="AH20" s="349">
        <f>14406.21+864.37</f>
        <v/>
      </c>
      <c r="AI20" s="349">
        <f>14406.21+864.37</f>
        <v/>
      </c>
      <c r="AJ20" s="349">
        <f>14406.21+864.37</f>
        <v/>
      </c>
      <c r="AK20" s="349">
        <f>14406.21+864.37</f>
        <v/>
      </c>
      <c r="AL20" s="349">
        <f>14406.21+864.37</f>
        <v/>
      </c>
      <c r="AM20" s="349">
        <f>14406.21+864.37</f>
        <v/>
      </c>
      <c r="AN20" s="349">
        <f>14406.21+864.37</f>
        <v/>
      </c>
      <c r="AO20" s="349">
        <f>14406.21+864.37</f>
        <v/>
      </c>
      <c r="AP20" s="349">
        <f>14406.21+864.37</f>
        <v/>
      </c>
      <c r="AQ20" s="349">
        <f>14406.21+864.37</f>
        <v/>
      </c>
      <c r="AR20" s="349">
        <f>14406.21+864.37</f>
        <v/>
      </c>
      <c r="AS20" s="349">
        <f>14406.21+864.37</f>
        <v/>
      </c>
      <c r="AT20" s="349">
        <f>14406.21+864.37</f>
        <v/>
      </c>
      <c r="AU20" s="349">
        <f>14406.21+864.37</f>
        <v/>
      </c>
      <c r="AV20" s="349">
        <f>14406.21+864.37</f>
        <v/>
      </c>
      <c r="AW20" s="349">
        <f>14406.21+864.37</f>
        <v/>
      </c>
      <c r="AX20" s="349">
        <f>14406.21+864.37</f>
        <v/>
      </c>
      <c r="AY20" s="349">
        <f>14406.21+864.37</f>
        <v/>
      </c>
      <c r="AZ20" s="349">
        <f>14406.21+864.37</f>
        <v/>
      </c>
      <c r="BA20" s="349">
        <f>14406.21+864.37</f>
        <v/>
      </c>
      <c r="BB20" s="349">
        <f>14406.21+864.37</f>
        <v/>
      </c>
      <c r="BC20" s="349">
        <f>14406.21+864.37</f>
        <v/>
      </c>
      <c r="BD20" s="349">
        <f>14406.21+864.37</f>
        <v/>
      </c>
      <c r="BE20" s="349">
        <f>14406.21+864.37</f>
        <v/>
      </c>
      <c r="BF20" s="349">
        <f>14406.21+864.37</f>
        <v/>
      </c>
      <c r="BG20" s="349">
        <f>14406.21+864.37</f>
        <v/>
      </c>
      <c r="BH20" s="349">
        <f>14406.21+864.37</f>
        <v/>
      </c>
      <c r="BI20" s="349">
        <f>14406.21+864.37</f>
        <v/>
      </c>
      <c r="BJ20" s="349">
        <f>14406.21+864.37</f>
        <v/>
      </c>
      <c r="BK20" s="349">
        <f>14406.21+864.37</f>
        <v/>
      </c>
      <c r="BL20" s="349">
        <f>14406.21+864.37</f>
        <v/>
      </c>
      <c r="BM20" s="350">
        <f>SUM(E20:BL20)</f>
        <v/>
      </c>
    </row>
    <row r="21" ht="13.7" customFormat="1" customHeight="1" s="54">
      <c r="A21" s="48">
        <f>A20+1</f>
        <v/>
      </c>
      <c r="B21" s="287" t="inlineStr">
        <is>
          <t>Eder Tagveira dos Santos</t>
        </is>
      </c>
      <c r="C21" s="257" t="n"/>
      <c r="D21" s="255" t="n"/>
      <c r="E21" s="349" t="n">
        <v>10500</v>
      </c>
      <c r="F21" s="349" t="n">
        <v>10501</v>
      </c>
      <c r="G21" s="349" t="n">
        <v>10502</v>
      </c>
      <c r="H21" s="349" t="n">
        <v>10503</v>
      </c>
      <c r="I21" s="349" t="n">
        <v>10504</v>
      </c>
      <c r="J21" s="349" t="n">
        <v>10505</v>
      </c>
      <c r="K21" s="349" t="n">
        <v>10506</v>
      </c>
      <c r="L21" s="349" t="n">
        <v>10507</v>
      </c>
      <c r="M21" s="349" t="n">
        <v>10508</v>
      </c>
      <c r="N21" s="349" t="n">
        <v>10509</v>
      </c>
      <c r="O21" s="349" t="n">
        <v>10510</v>
      </c>
      <c r="P21" s="349" t="n">
        <v>10511</v>
      </c>
      <c r="Q21" s="349" t="n">
        <v>10512</v>
      </c>
      <c r="R21" s="349" t="n">
        <v>10513</v>
      </c>
      <c r="S21" s="349" t="n">
        <v>10514</v>
      </c>
      <c r="T21" s="349" t="n">
        <v>10515</v>
      </c>
      <c r="U21" s="349" t="n">
        <v>10516</v>
      </c>
      <c r="V21" s="349" t="n">
        <v>10517</v>
      </c>
      <c r="W21" s="349" t="n">
        <v>10518</v>
      </c>
      <c r="X21" s="349" t="n">
        <v>10519</v>
      </c>
      <c r="Y21" s="349" t="n">
        <v>10520</v>
      </c>
      <c r="Z21" s="349" t="n">
        <v>10521</v>
      </c>
      <c r="AA21" s="349" t="n">
        <v>10522</v>
      </c>
      <c r="AB21" s="349" t="n">
        <v>10523</v>
      </c>
      <c r="AC21" s="349" t="n">
        <v>10524</v>
      </c>
      <c r="AD21" s="349" t="n">
        <v>10525</v>
      </c>
      <c r="AE21" s="349" t="n">
        <v>10526</v>
      </c>
      <c r="AF21" s="349" t="n">
        <v>10527</v>
      </c>
      <c r="AG21" s="349" t="n">
        <v>10528</v>
      </c>
      <c r="AH21" s="349" t="n">
        <v>10529</v>
      </c>
      <c r="AI21" s="349" t="n">
        <v>10530</v>
      </c>
      <c r="AJ21" s="349" t="n">
        <v>10531</v>
      </c>
      <c r="AK21" s="349" t="n">
        <v>10532</v>
      </c>
      <c r="AL21" s="349" t="n">
        <v>10533</v>
      </c>
      <c r="AM21" s="349" t="n">
        <v>10534</v>
      </c>
      <c r="AN21" s="349" t="n">
        <v>10535</v>
      </c>
      <c r="AO21" s="349" t="n">
        <v>10536</v>
      </c>
      <c r="AP21" s="349" t="n">
        <v>10537</v>
      </c>
      <c r="AQ21" s="349" t="n">
        <v>10538</v>
      </c>
      <c r="AR21" s="349" t="n">
        <v>10539</v>
      </c>
      <c r="AS21" s="349" t="n">
        <v>10540</v>
      </c>
      <c r="AT21" s="349" t="n">
        <v>10541</v>
      </c>
      <c r="AU21" s="349" t="n">
        <v>10542</v>
      </c>
      <c r="AV21" s="349" t="n">
        <v>10543</v>
      </c>
      <c r="AW21" s="349" t="n">
        <v>10544</v>
      </c>
      <c r="AX21" s="349" t="n">
        <v>10545</v>
      </c>
      <c r="AY21" s="349" t="n">
        <v>10546</v>
      </c>
      <c r="AZ21" s="349" t="n">
        <v>10547</v>
      </c>
      <c r="BA21" s="349" t="n">
        <v>10548</v>
      </c>
      <c r="BB21" s="349" t="n">
        <v>10549</v>
      </c>
      <c r="BC21" s="349" t="n">
        <v>10550</v>
      </c>
      <c r="BD21" s="349" t="n">
        <v>10551</v>
      </c>
      <c r="BE21" s="349" t="n">
        <v>10552</v>
      </c>
      <c r="BF21" s="349" t="n">
        <v>10553</v>
      </c>
      <c r="BG21" s="349" t="n">
        <v>10554</v>
      </c>
      <c r="BH21" s="349" t="n">
        <v>10555</v>
      </c>
      <c r="BI21" s="349" t="n">
        <v>10556</v>
      </c>
      <c r="BJ21" s="349" t="n">
        <v>10557</v>
      </c>
      <c r="BK21" s="349" t="n">
        <v>10558</v>
      </c>
      <c r="BL21" s="349" t="n">
        <v>10559</v>
      </c>
      <c r="BM21" s="350">
        <f>SUM(E21:BL21)</f>
        <v/>
      </c>
    </row>
    <row r="22" ht="13.7" customFormat="1" customHeight="1" s="54">
      <c r="A22" s="48">
        <f>A21+1</f>
        <v/>
      </c>
      <c r="B22" s="287" t="inlineStr">
        <is>
          <t>Elizabeth Ventura da Silva</t>
        </is>
      </c>
      <c r="C22" s="257" t="n"/>
      <c r="D22" s="255" t="n"/>
      <c r="E22" s="349">
        <f>4615.4+553.85</f>
        <v/>
      </c>
      <c r="F22" s="349">
        <f>4615.4+553.85</f>
        <v/>
      </c>
      <c r="G22" s="349">
        <f>4615.4+553.85</f>
        <v/>
      </c>
      <c r="H22" s="349">
        <f>4615.4+553.85</f>
        <v/>
      </c>
      <c r="I22" s="349">
        <f>4615.4+553.85</f>
        <v/>
      </c>
      <c r="J22" s="349">
        <f>4615.4+553.85</f>
        <v/>
      </c>
      <c r="K22" s="349">
        <f>4615.4+553.85</f>
        <v/>
      </c>
      <c r="L22" s="349">
        <f>4615.4+553.85</f>
        <v/>
      </c>
      <c r="M22" s="349">
        <f>4615.4+553.85</f>
        <v/>
      </c>
      <c r="N22" s="349">
        <f>4615.4+553.85</f>
        <v/>
      </c>
      <c r="O22" s="349">
        <f>4615.4+553.85</f>
        <v/>
      </c>
      <c r="P22" s="349">
        <f>4615.4+553.85</f>
        <v/>
      </c>
      <c r="Q22" s="349">
        <f>4615.4+553.85</f>
        <v/>
      </c>
      <c r="R22" s="349">
        <f>4615.4+553.85</f>
        <v/>
      </c>
      <c r="S22" s="349">
        <f>4615.4+553.85</f>
        <v/>
      </c>
      <c r="T22" s="349">
        <f>4615.4+553.85</f>
        <v/>
      </c>
      <c r="U22" s="349">
        <f>4615.4+553.85</f>
        <v/>
      </c>
      <c r="V22" s="349">
        <f>4615.4+553.85</f>
        <v/>
      </c>
      <c r="W22" s="349">
        <f>4615.4+553.85</f>
        <v/>
      </c>
      <c r="X22" s="349">
        <f>4615.4+553.85</f>
        <v/>
      </c>
      <c r="Y22" s="349">
        <f>4615.4+553.85</f>
        <v/>
      </c>
      <c r="Z22" s="349">
        <f>4615.4+553.85</f>
        <v/>
      </c>
      <c r="AA22" s="349">
        <f>4615.4+553.85</f>
        <v/>
      </c>
      <c r="AB22" s="349">
        <f>4615.4+553.85</f>
        <v/>
      </c>
      <c r="AC22" s="349">
        <f>4615.4+553.85</f>
        <v/>
      </c>
      <c r="AD22" s="349">
        <f>4615.4+553.85</f>
        <v/>
      </c>
      <c r="AE22" s="349">
        <f>4615.4+553.85</f>
        <v/>
      </c>
      <c r="AF22" s="349">
        <f>4615.4+553.85</f>
        <v/>
      </c>
      <c r="AG22" s="349">
        <f>4615.4+553.85</f>
        <v/>
      </c>
      <c r="AH22" s="349">
        <f>4615.4+553.85</f>
        <v/>
      </c>
      <c r="AI22" s="349">
        <f>4615.4+553.85</f>
        <v/>
      </c>
      <c r="AJ22" s="349">
        <f>4615.4+553.85</f>
        <v/>
      </c>
      <c r="AK22" s="349">
        <f>4615.4+553.85</f>
        <v/>
      </c>
      <c r="AL22" s="349">
        <f>4615.4+553.85</f>
        <v/>
      </c>
      <c r="AM22" s="349">
        <f>4615.4+553.85</f>
        <v/>
      </c>
      <c r="AN22" s="349">
        <f>4615.4+553.85</f>
        <v/>
      </c>
      <c r="AO22" s="349">
        <f>4615.4+553.85</f>
        <v/>
      </c>
      <c r="AP22" s="349">
        <f>4615.4+553.85</f>
        <v/>
      </c>
      <c r="AQ22" s="349">
        <f>4615.4+553.85</f>
        <v/>
      </c>
      <c r="AR22" s="349">
        <f>4615.4+553.85</f>
        <v/>
      </c>
      <c r="AS22" s="349">
        <f>4615.4+553.85</f>
        <v/>
      </c>
      <c r="AT22" s="349">
        <f>4615.4+553.85</f>
        <v/>
      </c>
      <c r="AU22" s="349">
        <f>4615.4+553.85</f>
        <v/>
      </c>
      <c r="AV22" s="349">
        <f>4615.4+553.85</f>
        <v/>
      </c>
      <c r="AW22" s="349">
        <f>4615.4+553.85</f>
        <v/>
      </c>
      <c r="AX22" s="349">
        <f>4615.4+553.85</f>
        <v/>
      </c>
      <c r="AY22" s="349">
        <f>4615.4+553.85</f>
        <v/>
      </c>
      <c r="AZ22" s="349">
        <f>4615.4+553.85</f>
        <v/>
      </c>
      <c r="BA22" s="349">
        <f>4615.4+553.85</f>
        <v/>
      </c>
      <c r="BB22" s="349">
        <f>4615.4+553.85</f>
        <v/>
      </c>
      <c r="BC22" s="349">
        <f>4615.4+553.85</f>
        <v/>
      </c>
      <c r="BD22" s="349">
        <f>4615.4+553.85</f>
        <v/>
      </c>
      <c r="BE22" s="349">
        <f>4615.4+553.85</f>
        <v/>
      </c>
      <c r="BF22" s="349">
        <f>4615.4+553.85</f>
        <v/>
      </c>
      <c r="BG22" s="349">
        <f>4615.4+553.85</f>
        <v/>
      </c>
      <c r="BH22" s="349">
        <f>4615.4+553.85</f>
        <v/>
      </c>
      <c r="BI22" s="349">
        <f>4615.4+553.85</f>
        <v/>
      </c>
      <c r="BJ22" s="349">
        <f>4615.4+553.85</f>
        <v/>
      </c>
      <c r="BK22" s="349">
        <f>4615.4+553.85</f>
        <v/>
      </c>
      <c r="BL22" s="349">
        <f>4615.4+553.85</f>
        <v/>
      </c>
      <c r="BM22" s="350">
        <f>SUM(E22:BL22)</f>
        <v/>
      </c>
    </row>
    <row r="23" ht="13.7" customFormat="1" customHeight="1" s="54">
      <c r="A23" s="48">
        <f>A22+1</f>
        <v/>
      </c>
      <c r="B23" s="287" t="inlineStr">
        <is>
          <t>Érika Cavalcante de Souza Tartari</t>
        </is>
      </c>
      <c r="C23" s="257" t="n"/>
      <c r="D23" s="255" t="n"/>
      <c r="E23" s="349">
        <f>6566.54</f>
        <v/>
      </c>
      <c r="F23" s="349">
        <f>6566.54</f>
        <v/>
      </c>
      <c r="G23" s="349">
        <f>6566.54</f>
        <v/>
      </c>
      <c r="H23" s="349">
        <f>6566.54</f>
        <v/>
      </c>
      <c r="I23" s="349">
        <f>6566.54</f>
        <v/>
      </c>
      <c r="J23" s="349">
        <f>6566.54</f>
        <v/>
      </c>
      <c r="K23" s="349">
        <f>6566.54</f>
        <v/>
      </c>
      <c r="L23" s="349">
        <f>6566.54</f>
        <v/>
      </c>
      <c r="M23" s="349">
        <f>6566.54</f>
        <v/>
      </c>
      <c r="N23" s="349">
        <f>6566.54</f>
        <v/>
      </c>
      <c r="O23" s="349">
        <f>6566.54</f>
        <v/>
      </c>
      <c r="P23" s="349">
        <f>6566.54</f>
        <v/>
      </c>
      <c r="Q23" s="349">
        <f>6566.54</f>
        <v/>
      </c>
      <c r="R23" s="349">
        <f>6566.54</f>
        <v/>
      </c>
      <c r="S23" s="349">
        <f>6566.54</f>
        <v/>
      </c>
      <c r="T23" s="349">
        <f>6566.54</f>
        <v/>
      </c>
      <c r="U23" s="349">
        <f>6566.54</f>
        <v/>
      </c>
      <c r="V23" s="349">
        <f>6566.54</f>
        <v/>
      </c>
      <c r="W23" s="349">
        <f>6566.54</f>
        <v/>
      </c>
      <c r="X23" s="349">
        <f>6566.54</f>
        <v/>
      </c>
      <c r="Y23" s="349">
        <f>6566.54</f>
        <v/>
      </c>
      <c r="Z23" s="349">
        <f>6566.54</f>
        <v/>
      </c>
      <c r="AA23" s="349">
        <f>6566.54</f>
        <v/>
      </c>
      <c r="AB23" s="349">
        <f>6566.54</f>
        <v/>
      </c>
      <c r="AC23" s="349">
        <f>6566.54</f>
        <v/>
      </c>
      <c r="AD23" s="349">
        <f>6566.54</f>
        <v/>
      </c>
      <c r="AE23" s="349">
        <f>6566.54</f>
        <v/>
      </c>
      <c r="AF23" s="349">
        <f>6566.54</f>
        <v/>
      </c>
      <c r="AG23" s="349">
        <f>6566.54</f>
        <v/>
      </c>
      <c r="AH23" s="349">
        <f>6566.54</f>
        <v/>
      </c>
      <c r="AI23" s="349">
        <f>6566.54</f>
        <v/>
      </c>
      <c r="AJ23" s="349">
        <f>6566.54</f>
        <v/>
      </c>
      <c r="AK23" s="349">
        <f>6566.54</f>
        <v/>
      </c>
      <c r="AL23" s="349">
        <f>6566.54</f>
        <v/>
      </c>
      <c r="AM23" s="349">
        <f>6566.54</f>
        <v/>
      </c>
      <c r="AN23" s="349">
        <f>6566.54</f>
        <v/>
      </c>
      <c r="AO23" s="349">
        <f>6566.54</f>
        <v/>
      </c>
      <c r="AP23" s="349">
        <f>6566.54</f>
        <v/>
      </c>
      <c r="AQ23" s="349">
        <f>6566.54</f>
        <v/>
      </c>
      <c r="AR23" s="349">
        <f>6566.54</f>
        <v/>
      </c>
      <c r="AS23" s="349">
        <f>6566.54</f>
        <v/>
      </c>
      <c r="AT23" s="349">
        <f>6566.54</f>
        <v/>
      </c>
      <c r="AU23" s="349">
        <f>6566.54</f>
        <v/>
      </c>
      <c r="AV23" s="349">
        <f>6566.54</f>
        <v/>
      </c>
      <c r="AW23" s="349">
        <f>6566.54</f>
        <v/>
      </c>
      <c r="AX23" s="349">
        <f>6566.54</f>
        <v/>
      </c>
      <c r="AY23" s="349">
        <f>6566.54</f>
        <v/>
      </c>
      <c r="AZ23" s="349">
        <f>6566.54</f>
        <v/>
      </c>
      <c r="BA23" s="349">
        <f>6566.54</f>
        <v/>
      </c>
      <c r="BB23" s="349">
        <f>6566.54</f>
        <v/>
      </c>
      <c r="BC23" s="349">
        <f>6566.54</f>
        <v/>
      </c>
      <c r="BD23" s="349">
        <f>6566.54</f>
        <v/>
      </c>
      <c r="BE23" s="349">
        <f>6566.54</f>
        <v/>
      </c>
      <c r="BF23" s="349">
        <f>6566.54</f>
        <v/>
      </c>
      <c r="BG23" s="349">
        <f>6566.54</f>
        <v/>
      </c>
      <c r="BH23" s="349">
        <f>6566.54</f>
        <v/>
      </c>
      <c r="BI23" s="349">
        <f>6566.54</f>
        <v/>
      </c>
      <c r="BJ23" s="349">
        <f>6566.54</f>
        <v/>
      </c>
      <c r="BK23" s="349">
        <f>6566.54</f>
        <v/>
      </c>
      <c r="BL23" s="349">
        <f>6566.54</f>
        <v/>
      </c>
      <c r="BM23" s="350">
        <f>SUM(E23:BL23)</f>
        <v/>
      </c>
    </row>
    <row r="24" ht="13.7" customFormat="1" customHeight="1" s="54">
      <c r="A24" s="48">
        <f>A23+1</f>
        <v/>
      </c>
      <c r="B24" s="287" t="inlineStr">
        <is>
          <t>Gabriel Domingos Adriano</t>
        </is>
      </c>
      <c r="C24" s="257" t="n"/>
      <c r="D24" s="255" t="n"/>
      <c r="E24" s="349">
        <f>6019.33</f>
        <v/>
      </c>
      <c r="F24" s="349">
        <f>6019.33</f>
        <v/>
      </c>
      <c r="G24" s="349">
        <f>6019.33</f>
        <v/>
      </c>
      <c r="H24" s="349">
        <f>6019.33</f>
        <v/>
      </c>
      <c r="I24" s="349">
        <f>6019.33</f>
        <v/>
      </c>
      <c r="J24" s="349">
        <f>6019.33</f>
        <v/>
      </c>
      <c r="K24" s="349">
        <f>6019.33</f>
        <v/>
      </c>
      <c r="L24" s="349">
        <f>6019.33</f>
        <v/>
      </c>
      <c r="M24" s="349">
        <f>6019.33</f>
        <v/>
      </c>
      <c r="N24" s="349">
        <f>6019.33</f>
        <v/>
      </c>
      <c r="O24" s="349">
        <f>6019.33</f>
        <v/>
      </c>
      <c r="P24" s="349">
        <f>6019.33</f>
        <v/>
      </c>
      <c r="Q24" s="349">
        <f>6019.33</f>
        <v/>
      </c>
      <c r="R24" s="349">
        <f>6019.33</f>
        <v/>
      </c>
      <c r="S24" s="349">
        <f>6019.33</f>
        <v/>
      </c>
      <c r="T24" s="349">
        <f>6019.33</f>
        <v/>
      </c>
      <c r="U24" s="349">
        <f>6019.33</f>
        <v/>
      </c>
      <c r="V24" s="349">
        <f>6019.33</f>
        <v/>
      </c>
      <c r="W24" s="349">
        <f>6019.33</f>
        <v/>
      </c>
      <c r="X24" s="349">
        <f>6019.33</f>
        <v/>
      </c>
      <c r="Y24" s="349">
        <f>6019.33</f>
        <v/>
      </c>
      <c r="Z24" s="349">
        <f>6019.33</f>
        <v/>
      </c>
      <c r="AA24" s="349">
        <f>6019.33</f>
        <v/>
      </c>
      <c r="AB24" s="349">
        <f>6019.33</f>
        <v/>
      </c>
      <c r="AC24" s="349">
        <f>6019.33</f>
        <v/>
      </c>
      <c r="AD24" s="349">
        <f>6019.33</f>
        <v/>
      </c>
      <c r="AE24" s="349">
        <f>6019.33</f>
        <v/>
      </c>
      <c r="AF24" s="349">
        <f>6019.33</f>
        <v/>
      </c>
      <c r="AG24" s="349">
        <f>6019.33</f>
        <v/>
      </c>
      <c r="AH24" s="349">
        <f>6019.33</f>
        <v/>
      </c>
      <c r="AI24" s="349">
        <f>6019.33</f>
        <v/>
      </c>
      <c r="AJ24" s="349">
        <f>6019.33</f>
        <v/>
      </c>
      <c r="AK24" s="349">
        <f>6019.33</f>
        <v/>
      </c>
      <c r="AL24" s="349">
        <f>6019.33</f>
        <v/>
      </c>
      <c r="AM24" s="349">
        <f>6019.33</f>
        <v/>
      </c>
      <c r="AN24" s="349">
        <f>6019.33</f>
        <v/>
      </c>
      <c r="AO24" s="349">
        <f>6019.33</f>
        <v/>
      </c>
      <c r="AP24" s="349">
        <f>6019.33</f>
        <v/>
      </c>
      <c r="AQ24" s="349">
        <f>6019.33</f>
        <v/>
      </c>
      <c r="AR24" s="349">
        <f>6019.33</f>
        <v/>
      </c>
      <c r="AS24" s="349">
        <f>6019.33</f>
        <v/>
      </c>
      <c r="AT24" s="349">
        <f>6019.33</f>
        <v/>
      </c>
      <c r="AU24" s="349">
        <f>6019.33</f>
        <v/>
      </c>
      <c r="AV24" s="349">
        <f>6019.33</f>
        <v/>
      </c>
      <c r="AW24" s="349">
        <f>6019.33</f>
        <v/>
      </c>
      <c r="AX24" s="349">
        <f>6019.33</f>
        <v/>
      </c>
      <c r="AY24" s="349">
        <f>6019.33</f>
        <v/>
      </c>
      <c r="AZ24" s="349">
        <f>6019.33</f>
        <v/>
      </c>
      <c r="BA24" s="349">
        <f>6019.33</f>
        <v/>
      </c>
      <c r="BB24" s="349">
        <f>6019.33</f>
        <v/>
      </c>
      <c r="BC24" s="349">
        <f>6019.33</f>
        <v/>
      </c>
      <c r="BD24" s="349">
        <f>6019.33</f>
        <v/>
      </c>
      <c r="BE24" s="349">
        <f>6019.33</f>
        <v/>
      </c>
      <c r="BF24" s="349">
        <f>6019.33</f>
        <v/>
      </c>
      <c r="BG24" s="349">
        <f>6019.33</f>
        <v/>
      </c>
      <c r="BH24" s="349">
        <f>6019.33</f>
        <v/>
      </c>
      <c r="BI24" s="349">
        <f>6019.33</f>
        <v/>
      </c>
      <c r="BJ24" s="349">
        <f>6019.33</f>
        <v/>
      </c>
      <c r="BK24" s="349">
        <f>6019.33</f>
        <v/>
      </c>
      <c r="BL24" s="349">
        <f>6019.33</f>
        <v/>
      </c>
      <c r="BM24" s="350">
        <f>SUM(E24:BL24)</f>
        <v/>
      </c>
    </row>
    <row r="25" ht="13.7" customFormat="1" customHeight="1" s="54">
      <c r="A25" s="48">
        <f>A24+1</f>
        <v/>
      </c>
      <c r="B25" s="287" t="inlineStr">
        <is>
          <t>Gabriel Phillipe Ferreira Perpetuo</t>
        </is>
      </c>
      <c r="C25" s="257" t="n"/>
      <c r="D25" s="255" t="n"/>
      <c r="E25" s="349">
        <f>4487.14</f>
        <v/>
      </c>
      <c r="F25" s="349">
        <f>4487.14</f>
        <v/>
      </c>
      <c r="G25" s="349">
        <f>4487.14</f>
        <v/>
      </c>
      <c r="H25" s="349">
        <f>4487.14</f>
        <v/>
      </c>
      <c r="I25" s="349">
        <f>4487.14</f>
        <v/>
      </c>
      <c r="J25" s="349">
        <f>4487.14</f>
        <v/>
      </c>
      <c r="K25" s="349">
        <f>4487.14</f>
        <v/>
      </c>
      <c r="L25" s="349">
        <f>4487.14</f>
        <v/>
      </c>
      <c r="M25" s="349">
        <f>4487.14</f>
        <v/>
      </c>
      <c r="N25" s="349">
        <f>4487.14</f>
        <v/>
      </c>
      <c r="O25" s="349">
        <f>4487.14</f>
        <v/>
      </c>
      <c r="P25" s="349">
        <f>4487.14</f>
        <v/>
      </c>
      <c r="Q25" s="349">
        <f>4487.14</f>
        <v/>
      </c>
      <c r="R25" s="349">
        <f>4487.14</f>
        <v/>
      </c>
      <c r="S25" s="349">
        <f>4487.14</f>
        <v/>
      </c>
      <c r="T25" s="349">
        <f>4487.14</f>
        <v/>
      </c>
      <c r="U25" s="349">
        <f>4487.14</f>
        <v/>
      </c>
      <c r="V25" s="349">
        <f>4487.14</f>
        <v/>
      </c>
      <c r="W25" s="349">
        <f>4487.14</f>
        <v/>
      </c>
      <c r="X25" s="349">
        <f>4487.14</f>
        <v/>
      </c>
      <c r="Y25" s="349">
        <f>4487.14</f>
        <v/>
      </c>
      <c r="Z25" s="349">
        <f>4487.14</f>
        <v/>
      </c>
      <c r="AA25" s="349">
        <f>4487.14</f>
        <v/>
      </c>
      <c r="AB25" s="349">
        <f>4487.14</f>
        <v/>
      </c>
      <c r="AC25" s="349">
        <f>4487.14</f>
        <v/>
      </c>
      <c r="AD25" s="349">
        <f>4487.14</f>
        <v/>
      </c>
      <c r="AE25" s="349">
        <f>4487.14</f>
        <v/>
      </c>
      <c r="AF25" s="349">
        <f>4487.14</f>
        <v/>
      </c>
      <c r="AG25" s="349">
        <f>4487.14</f>
        <v/>
      </c>
      <c r="AH25" s="349">
        <f>4487.14</f>
        <v/>
      </c>
      <c r="AI25" s="349">
        <f>4487.14</f>
        <v/>
      </c>
      <c r="AJ25" s="349">
        <f>4487.14</f>
        <v/>
      </c>
      <c r="AK25" s="349">
        <f>4487.14</f>
        <v/>
      </c>
      <c r="AL25" s="349">
        <f>4487.14</f>
        <v/>
      </c>
      <c r="AM25" s="349">
        <f>4487.14</f>
        <v/>
      </c>
      <c r="AN25" s="349">
        <f>4487.14</f>
        <v/>
      </c>
      <c r="AO25" s="349">
        <f>4487.14</f>
        <v/>
      </c>
      <c r="AP25" s="349">
        <f>4487.14</f>
        <v/>
      </c>
      <c r="AQ25" s="349">
        <f>4487.14</f>
        <v/>
      </c>
      <c r="AR25" s="349">
        <f>4487.14</f>
        <v/>
      </c>
      <c r="AS25" s="349">
        <f>4487.14</f>
        <v/>
      </c>
      <c r="AT25" s="349">
        <f>4487.14</f>
        <v/>
      </c>
      <c r="AU25" s="349">
        <f>4487.14</f>
        <v/>
      </c>
      <c r="AV25" s="349">
        <f>4487.14</f>
        <v/>
      </c>
      <c r="AW25" s="349">
        <f>4487.14</f>
        <v/>
      </c>
      <c r="AX25" s="349">
        <f>4487.14</f>
        <v/>
      </c>
      <c r="AY25" s="349">
        <f>4487.14</f>
        <v/>
      </c>
      <c r="AZ25" s="349">
        <f>4487.14</f>
        <v/>
      </c>
      <c r="BA25" s="349">
        <f>4487.14</f>
        <v/>
      </c>
      <c r="BB25" s="349">
        <f>4487.14</f>
        <v/>
      </c>
      <c r="BC25" s="349">
        <f>4487.14</f>
        <v/>
      </c>
      <c r="BD25" s="349">
        <f>4487.14</f>
        <v/>
      </c>
      <c r="BE25" s="349">
        <f>4487.14</f>
        <v/>
      </c>
      <c r="BF25" s="349">
        <f>4487.14</f>
        <v/>
      </c>
      <c r="BG25" s="349">
        <f>4487.14</f>
        <v/>
      </c>
      <c r="BH25" s="349">
        <f>4487.14</f>
        <v/>
      </c>
      <c r="BI25" s="349">
        <f>4487.14</f>
        <v/>
      </c>
      <c r="BJ25" s="349">
        <f>4487.14</f>
        <v/>
      </c>
      <c r="BK25" s="349">
        <f>4487.14</f>
        <v/>
      </c>
      <c r="BL25" s="349">
        <f>4487.14</f>
        <v/>
      </c>
      <c r="BM25" s="350">
        <f>SUM(E25:BL25)</f>
        <v/>
      </c>
    </row>
    <row r="26" ht="13.7" customFormat="1" customHeight="1" s="54">
      <c r="A26" s="48">
        <f>A25+1</f>
        <v/>
      </c>
      <c r="B26" s="287" t="inlineStr">
        <is>
          <t>Gastão Cassel</t>
        </is>
      </c>
      <c r="C26" s="257" t="n"/>
      <c r="D26" s="255" t="n"/>
      <c r="E26" s="349">
        <f>11091.26+1330.95</f>
        <v/>
      </c>
      <c r="F26" s="349">
        <f>11091.26+1330.95</f>
        <v/>
      </c>
      <c r="G26" s="349">
        <f>11091.26+1330.95</f>
        <v/>
      </c>
      <c r="H26" s="349">
        <f>11091.26+1330.95</f>
        <v/>
      </c>
      <c r="I26" s="349">
        <f>11091.26+1330.95</f>
        <v/>
      </c>
      <c r="J26" s="349">
        <f>11091.26+1330.95</f>
        <v/>
      </c>
      <c r="K26" s="349">
        <f>11091.26+1330.95</f>
        <v/>
      </c>
      <c r="L26" s="349">
        <f>11091.26+1330.95</f>
        <v/>
      </c>
      <c r="M26" s="349">
        <f>11091.26+1330.95</f>
        <v/>
      </c>
      <c r="N26" s="349">
        <f>11091.26+1330.95</f>
        <v/>
      </c>
      <c r="O26" s="349">
        <f>11091.26+1330.95</f>
        <v/>
      </c>
      <c r="P26" s="349">
        <f>11091.26+1330.95</f>
        <v/>
      </c>
      <c r="Q26" s="349">
        <f>11091.26+1330.95</f>
        <v/>
      </c>
      <c r="R26" s="349">
        <f>11091.26+1330.95</f>
        <v/>
      </c>
      <c r="S26" s="349">
        <f>11091.26+1330.95</f>
        <v/>
      </c>
      <c r="T26" s="349">
        <f>11091.26+1330.95</f>
        <v/>
      </c>
      <c r="U26" s="349">
        <f>11091.26+1330.95</f>
        <v/>
      </c>
      <c r="V26" s="349">
        <f>11091.26+1330.95</f>
        <v/>
      </c>
      <c r="W26" s="349">
        <f>11091.26+1330.95</f>
        <v/>
      </c>
      <c r="X26" s="349">
        <f>11091.26+1330.95</f>
        <v/>
      </c>
      <c r="Y26" s="349">
        <f>11091.26+1330.95</f>
        <v/>
      </c>
      <c r="Z26" s="349">
        <f>11091.26+1330.95</f>
        <v/>
      </c>
      <c r="AA26" s="349">
        <f>11091.26+1330.95</f>
        <v/>
      </c>
      <c r="AB26" s="349">
        <f>11091.26+1330.95</f>
        <v/>
      </c>
      <c r="AC26" s="349">
        <f>11091.26+1330.95</f>
        <v/>
      </c>
      <c r="AD26" s="349">
        <f>11091.26+1330.95</f>
        <v/>
      </c>
      <c r="AE26" s="349">
        <f>11091.26+1330.95</f>
        <v/>
      </c>
      <c r="AF26" s="349">
        <f>11091.26+1330.95</f>
        <v/>
      </c>
      <c r="AG26" s="349">
        <f>11091.26+1330.95</f>
        <v/>
      </c>
      <c r="AH26" s="349">
        <f>11091.26+1330.95</f>
        <v/>
      </c>
      <c r="AI26" s="349">
        <f>11091.26+1330.95</f>
        <v/>
      </c>
      <c r="AJ26" s="349">
        <f>11091.26+1330.95</f>
        <v/>
      </c>
      <c r="AK26" s="349">
        <f>11091.26+1330.95</f>
        <v/>
      </c>
      <c r="AL26" s="349">
        <f>11091.26+1330.95</f>
        <v/>
      </c>
      <c r="AM26" s="349">
        <f>11091.26+1330.95</f>
        <v/>
      </c>
      <c r="AN26" s="349">
        <f>11091.26+1330.95</f>
        <v/>
      </c>
      <c r="AO26" s="349">
        <f>11091.26+1330.95</f>
        <v/>
      </c>
      <c r="AP26" s="349">
        <f>11091.26+1330.95</f>
        <v/>
      </c>
      <c r="AQ26" s="349">
        <f>11091.26+1330.95</f>
        <v/>
      </c>
      <c r="AR26" s="349">
        <f>11091.26+1330.95</f>
        <v/>
      </c>
      <c r="AS26" s="349">
        <f>11091.26+1330.95</f>
        <v/>
      </c>
      <c r="AT26" s="349">
        <f>11091.26+1330.95</f>
        <v/>
      </c>
      <c r="AU26" s="349">
        <f>11091.26+1330.95</f>
        <v/>
      </c>
      <c r="AV26" s="349">
        <f>11091.26+1330.95</f>
        <v/>
      </c>
      <c r="AW26" s="349">
        <f>11091.26+1330.95</f>
        <v/>
      </c>
      <c r="AX26" s="349">
        <f>11091.26+1330.95</f>
        <v/>
      </c>
      <c r="AY26" s="349">
        <f>11091.26+1330.95</f>
        <v/>
      </c>
      <c r="AZ26" s="349">
        <f>11091.26+1330.95</f>
        <v/>
      </c>
      <c r="BA26" s="349">
        <f>11091.26+1330.95</f>
        <v/>
      </c>
      <c r="BB26" s="349">
        <f>11091.26+1330.95</f>
        <v/>
      </c>
      <c r="BC26" s="349">
        <f>11091.26+1330.95</f>
        <v/>
      </c>
      <c r="BD26" s="349">
        <f>11091.26+1330.95</f>
        <v/>
      </c>
      <c r="BE26" s="349">
        <f>11091.26+1330.95</f>
        <v/>
      </c>
      <c r="BF26" s="349">
        <f>11091.26+1330.95</f>
        <v/>
      </c>
      <c r="BG26" s="349">
        <f>11091.26+1330.95</f>
        <v/>
      </c>
      <c r="BH26" s="349">
        <f>11091.26+1330.95</f>
        <v/>
      </c>
      <c r="BI26" s="349">
        <f>11091.26+1330.95</f>
        <v/>
      </c>
      <c r="BJ26" s="349">
        <f>11091.26+1330.95</f>
        <v/>
      </c>
      <c r="BK26" s="349">
        <f>11091.26+1330.95</f>
        <v/>
      </c>
      <c r="BL26" s="349">
        <f>11091.26+1330.95</f>
        <v/>
      </c>
      <c r="BM26" s="350">
        <f>SUM(E26:BL26)</f>
        <v/>
      </c>
    </row>
    <row r="27" ht="13.7" customFormat="1" customHeight="1" s="54">
      <c r="A27" s="48">
        <f>A26+1</f>
        <v/>
      </c>
      <c r="B27" s="287" t="inlineStr">
        <is>
          <t>Gustavo Garcia Otto</t>
        </is>
      </c>
      <c r="C27" s="257" t="n"/>
      <c r="D27" s="255" t="n"/>
      <c r="E27" s="349">
        <f>4906.09+735.91</f>
        <v/>
      </c>
      <c r="F27" s="349">
        <f>4906.09+735.91</f>
        <v/>
      </c>
      <c r="G27" s="349">
        <f>4906.09+735.91</f>
        <v/>
      </c>
      <c r="H27" s="349">
        <f>4906.09+735.91</f>
        <v/>
      </c>
      <c r="I27" s="349">
        <f>4906.09+735.91</f>
        <v/>
      </c>
      <c r="J27" s="349">
        <f>4906.09+735.91</f>
        <v/>
      </c>
      <c r="K27" s="349">
        <f>4906.09+735.91</f>
        <v/>
      </c>
      <c r="L27" s="349">
        <f>4906.09+735.91</f>
        <v/>
      </c>
      <c r="M27" s="349">
        <f>4906.09+735.91</f>
        <v/>
      </c>
      <c r="N27" s="349">
        <f>4906.09+735.91</f>
        <v/>
      </c>
      <c r="O27" s="349">
        <f>4906.09+735.91</f>
        <v/>
      </c>
      <c r="P27" s="349">
        <f>4906.09+735.91</f>
        <v/>
      </c>
      <c r="Q27" s="349">
        <f>4906.09+735.91</f>
        <v/>
      </c>
      <c r="R27" s="349">
        <f>4906.09+735.91</f>
        <v/>
      </c>
      <c r="S27" s="349">
        <f>4906.09+735.91</f>
        <v/>
      </c>
      <c r="T27" s="349">
        <f>4906.09+735.91</f>
        <v/>
      </c>
      <c r="U27" s="349">
        <f>4906.09+735.91</f>
        <v/>
      </c>
      <c r="V27" s="349">
        <f>4906.09+735.91</f>
        <v/>
      </c>
      <c r="W27" s="349">
        <f>4906.09+735.91</f>
        <v/>
      </c>
      <c r="X27" s="349">
        <f>4906.09+735.91</f>
        <v/>
      </c>
      <c r="Y27" s="349">
        <f>4906.09+735.91</f>
        <v/>
      </c>
      <c r="Z27" s="349">
        <f>4906.09+735.91</f>
        <v/>
      </c>
      <c r="AA27" s="349">
        <f>4906.09+735.91</f>
        <v/>
      </c>
      <c r="AB27" s="349">
        <f>4906.09+735.91</f>
        <v/>
      </c>
      <c r="AC27" s="349">
        <f>4906.09+735.91</f>
        <v/>
      </c>
      <c r="AD27" s="349">
        <f>4906.09+735.91</f>
        <v/>
      </c>
      <c r="AE27" s="349">
        <f>4906.09+735.91</f>
        <v/>
      </c>
      <c r="AF27" s="349">
        <f>4906.09+735.91</f>
        <v/>
      </c>
      <c r="AG27" s="349">
        <f>4906.09+735.91</f>
        <v/>
      </c>
      <c r="AH27" s="349">
        <f>4906.09+735.91</f>
        <v/>
      </c>
      <c r="AI27" s="349">
        <f>4906.09+735.91</f>
        <v/>
      </c>
      <c r="AJ27" s="349">
        <f>4906.09+735.91</f>
        <v/>
      </c>
      <c r="AK27" s="349">
        <f>4906.09+735.91</f>
        <v/>
      </c>
      <c r="AL27" s="349">
        <f>4906.09+735.91</f>
        <v/>
      </c>
      <c r="AM27" s="349">
        <f>4906.09+735.91</f>
        <v/>
      </c>
      <c r="AN27" s="349">
        <f>4906.09+735.91</f>
        <v/>
      </c>
      <c r="AO27" s="349">
        <f>4906.09+735.91</f>
        <v/>
      </c>
      <c r="AP27" s="349">
        <f>4906.09+735.91</f>
        <v/>
      </c>
      <c r="AQ27" s="349">
        <f>4906.09+735.91</f>
        <v/>
      </c>
      <c r="AR27" s="349">
        <f>4906.09+735.91</f>
        <v/>
      </c>
      <c r="AS27" s="349">
        <f>4906.09+735.91</f>
        <v/>
      </c>
      <c r="AT27" s="349">
        <f>4906.09+735.91</f>
        <v/>
      </c>
      <c r="AU27" s="349">
        <f>4906.09+735.91</f>
        <v/>
      </c>
      <c r="AV27" s="349">
        <f>4906.09+735.91</f>
        <v/>
      </c>
      <c r="AW27" s="349">
        <f>4906.09+735.91</f>
        <v/>
      </c>
      <c r="AX27" s="349">
        <f>4906.09+735.91</f>
        <v/>
      </c>
      <c r="AY27" s="349">
        <f>4906.09+735.91</f>
        <v/>
      </c>
      <c r="AZ27" s="349">
        <f>4906.09+735.91</f>
        <v/>
      </c>
      <c r="BA27" s="349">
        <f>4906.09+735.91</f>
        <v/>
      </c>
      <c r="BB27" s="349">
        <f>4906.09+735.91</f>
        <v/>
      </c>
      <c r="BC27" s="349">
        <f>4906.09+735.91</f>
        <v/>
      </c>
      <c r="BD27" s="349">
        <f>4906.09+735.91</f>
        <v/>
      </c>
      <c r="BE27" s="349">
        <f>4906.09+735.91</f>
        <v/>
      </c>
      <c r="BF27" s="349">
        <f>4906.09+735.91</f>
        <v/>
      </c>
      <c r="BG27" s="349">
        <f>4906.09+735.91</f>
        <v/>
      </c>
      <c r="BH27" s="349">
        <f>4906.09+735.91</f>
        <v/>
      </c>
      <c r="BI27" s="349">
        <f>4906.09+735.91</f>
        <v/>
      </c>
      <c r="BJ27" s="349">
        <f>4906.09+735.91</f>
        <v/>
      </c>
      <c r="BK27" s="349">
        <f>4906.09+735.91</f>
        <v/>
      </c>
      <c r="BL27" s="349">
        <f>4906.09+735.91</f>
        <v/>
      </c>
      <c r="BM27" s="350">
        <f>SUM(E27:BL27)</f>
        <v/>
      </c>
    </row>
    <row r="28" ht="13.7" customFormat="1" customHeight="1" s="54">
      <c r="A28" s="48">
        <f>A27+1</f>
        <v/>
      </c>
      <c r="B28" s="287" t="inlineStr">
        <is>
          <t>Irene Rios da Silva</t>
        </is>
      </c>
      <c r="C28" s="257" t="n"/>
      <c r="D28" s="255" t="n"/>
      <c r="E28" s="349">
        <f>12153.91+729.23</f>
        <v/>
      </c>
      <c r="F28" s="349">
        <f>12153.91+729.23</f>
        <v/>
      </c>
      <c r="G28" s="349">
        <f>12153.91+729.23</f>
        <v/>
      </c>
      <c r="H28" s="349">
        <f>12153.91+729.23</f>
        <v/>
      </c>
      <c r="I28" s="349">
        <f>12153.91+729.23</f>
        <v/>
      </c>
      <c r="J28" s="349">
        <f>12153.91+729.23</f>
        <v/>
      </c>
      <c r="K28" s="349">
        <f>12153.91+729.23</f>
        <v/>
      </c>
      <c r="L28" s="349">
        <f>12153.91+729.23</f>
        <v/>
      </c>
      <c r="M28" s="349">
        <f>12153.91+729.23</f>
        <v/>
      </c>
      <c r="N28" s="349">
        <f>12153.91+729.23</f>
        <v/>
      </c>
      <c r="O28" s="349">
        <f>12153.91+729.23</f>
        <v/>
      </c>
      <c r="P28" s="349">
        <f>12153.91+729.23</f>
        <v/>
      </c>
      <c r="Q28" s="349">
        <f>12153.91+729.23</f>
        <v/>
      </c>
      <c r="R28" s="349">
        <f>12153.91+729.23</f>
        <v/>
      </c>
      <c r="S28" s="349">
        <f>12153.91+729.23</f>
        <v/>
      </c>
      <c r="T28" s="349">
        <f>12153.91+729.23</f>
        <v/>
      </c>
      <c r="U28" s="349">
        <f>12153.91+729.23</f>
        <v/>
      </c>
      <c r="V28" s="349">
        <f>12153.91+729.23</f>
        <v/>
      </c>
      <c r="W28" s="349">
        <f>12153.91+729.23</f>
        <v/>
      </c>
      <c r="X28" s="349">
        <f>12153.91+729.23</f>
        <v/>
      </c>
      <c r="Y28" s="349">
        <f>12153.91+729.23</f>
        <v/>
      </c>
      <c r="Z28" s="349">
        <f>12153.91+729.23</f>
        <v/>
      </c>
      <c r="AA28" s="349">
        <f>12153.91+729.23</f>
        <v/>
      </c>
      <c r="AB28" s="349">
        <f>12153.91+729.23</f>
        <v/>
      </c>
      <c r="AC28" s="349">
        <f>12153.91+729.23</f>
        <v/>
      </c>
      <c r="AD28" s="349">
        <f>12153.91+729.23</f>
        <v/>
      </c>
      <c r="AE28" s="349">
        <f>12153.91+729.23</f>
        <v/>
      </c>
      <c r="AF28" s="349">
        <f>12153.91+729.23</f>
        <v/>
      </c>
      <c r="AG28" s="349">
        <f>12153.91+729.23</f>
        <v/>
      </c>
      <c r="AH28" s="349">
        <f>12153.91+729.23</f>
        <v/>
      </c>
      <c r="AI28" s="349">
        <f>12153.91+729.23</f>
        <v/>
      </c>
      <c r="AJ28" s="349">
        <f>12153.91+729.23</f>
        <v/>
      </c>
      <c r="AK28" s="349">
        <f>12153.91+729.23</f>
        <v/>
      </c>
      <c r="AL28" s="349">
        <f>12153.91+729.23</f>
        <v/>
      </c>
      <c r="AM28" s="349">
        <f>12153.91+729.23</f>
        <v/>
      </c>
      <c r="AN28" s="349">
        <f>12153.91+729.23</f>
        <v/>
      </c>
      <c r="AO28" s="349">
        <f>12153.91+729.23</f>
        <v/>
      </c>
      <c r="AP28" s="349">
        <f>12153.91+729.23</f>
        <v/>
      </c>
      <c r="AQ28" s="349">
        <f>12153.91+729.23</f>
        <v/>
      </c>
      <c r="AR28" s="349">
        <f>12153.91+729.23</f>
        <v/>
      </c>
      <c r="AS28" s="349">
        <f>12153.91+729.23</f>
        <v/>
      </c>
      <c r="AT28" s="349">
        <f>12153.91+729.23</f>
        <v/>
      </c>
      <c r="AU28" s="349">
        <f>12153.91+729.23</f>
        <v/>
      </c>
      <c r="AV28" s="349">
        <f>12153.91+729.23</f>
        <v/>
      </c>
      <c r="AW28" s="349">
        <f>12153.91+729.23</f>
        <v/>
      </c>
      <c r="AX28" s="349">
        <f>12153.91+729.23</f>
        <v/>
      </c>
      <c r="AY28" s="349">
        <f>12153.91+729.23</f>
        <v/>
      </c>
      <c r="AZ28" s="349">
        <f>12153.91+729.23</f>
        <v/>
      </c>
      <c r="BA28" s="349">
        <f>12153.91+729.23</f>
        <v/>
      </c>
      <c r="BB28" s="349">
        <f>12153.91+729.23</f>
        <v/>
      </c>
      <c r="BC28" s="349">
        <f>12153.91+729.23</f>
        <v/>
      </c>
      <c r="BD28" s="349">
        <f>12153.91+729.23</f>
        <v/>
      </c>
      <c r="BE28" s="349">
        <f>12153.91+729.23</f>
        <v/>
      </c>
      <c r="BF28" s="349">
        <f>12153.91+729.23</f>
        <v/>
      </c>
      <c r="BG28" s="349">
        <f>12153.91+729.23</f>
        <v/>
      </c>
      <c r="BH28" s="349">
        <f>12153.91+729.23</f>
        <v/>
      </c>
      <c r="BI28" s="349">
        <f>12153.91+729.23</f>
        <v/>
      </c>
      <c r="BJ28" s="349">
        <f>12153.91+729.23</f>
        <v/>
      </c>
      <c r="BK28" s="349">
        <f>12153.91+729.23</f>
        <v/>
      </c>
      <c r="BL28" s="349">
        <f>12153.91+729.23</f>
        <v/>
      </c>
      <c r="BM28" s="350">
        <f>SUM(E28:BL28)</f>
        <v/>
      </c>
    </row>
    <row r="29" ht="13.7" customFormat="1" customHeight="1" s="54">
      <c r="A29" s="48">
        <f>A28+1</f>
        <v/>
      </c>
      <c r="B29" s="287" t="inlineStr">
        <is>
          <t>João Luiz Martins</t>
        </is>
      </c>
      <c r="C29" s="257" t="n"/>
      <c r="D29" s="255" t="n"/>
      <c r="E29" s="349">
        <f>6347.66+380.86</f>
        <v/>
      </c>
      <c r="F29" s="349">
        <f>6347.66+380.86</f>
        <v/>
      </c>
      <c r="G29" s="349">
        <f>6347.66+380.86</f>
        <v/>
      </c>
      <c r="H29" s="349">
        <f>6347.66+380.86</f>
        <v/>
      </c>
      <c r="I29" s="349">
        <f>6347.66+380.86</f>
        <v/>
      </c>
      <c r="J29" s="349">
        <f>6347.66+380.86</f>
        <v/>
      </c>
      <c r="K29" s="349">
        <f>6347.66+380.86</f>
        <v/>
      </c>
      <c r="L29" s="349">
        <f>6347.66+380.86</f>
        <v/>
      </c>
      <c r="M29" s="349">
        <f>6347.66+380.86</f>
        <v/>
      </c>
      <c r="N29" s="349">
        <f>6347.66+380.86</f>
        <v/>
      </c>
      <c r="O29" s="349">
        <f>6347.66+380.86</f>
        <v/>
      </c>
      <c r="P29" s="349">
        <f>6347.66+380.86</f>
        <v/>
      </c>
      <c r="Q29" s="349">
        <f>6347.66+380.86</f>
        <v/>
      </c>
      <c r="R29" s="349">
        <f>6347.66+380.86</f>
        <v/>
      </c>
      <c r="S29" s="349">
        <f>6347.66+380.86</f>
        <v/>
      </c>
      <c r="T29" s="349">
        <f>6347.66+380.86</f>
        <v/>
      </c>
      <c r="U29" s="349">
        <f>6347.66+380.86</f>
        <v/>
      </c>
      <c r="V29" s="349">
        <f>6347.66+380.86</f>
        <v/>
      </c>
      <c r="W29" s="349">
        <f>6347.66+380.86</f>
        <v/>
      </c>
      <c r="X29" s="349">
        <f>6347.66+380.86</f>
        <v/>
      </c>
      <c r="Y29" s="349">
        <f>6347.66+380.86</f>
        <v/>
      </c>
      <c r="Z29" s="349">
        <f>6347.66+380.86</f>
        <v/>
      </c>
      <c r="AA29" s="349">
        <f>6347.66+380.86</f>
        <v/>
      </c>
      <c r="AB29" s="349">
        <f>6347.66+380.86</f>
        <v/>
      </c>
      <c r="AC29" s="349">
        <f>6347.66+380.86</f>
        <v/>
      </c>
      <c r="AD29" s="349">
        <f>6347.66+380.86</f>
        <v/>
      </c>
      <c r="AE29" s="349">
        <f>6347.66+380.86</f>
        <v/>
      </c>
      <c r="AF29" s="349">
        <f>6347.66+380.86</f>
        <v/>
      </c>
      <c r="AG29" s="349">
        <f>6347.66+380.86</f>
        <v/>
      </c>
      <c r="AH29" s="349">
        <f>6347.66+380.86</f>
        <v/>
      </c>
      <c r="AI29" s="349">
        <f>6347.66+380.86</f>
        <v/>
      </c>
      <c r="AJ29" s="349">
        <f>6347.66+380.86</f>
        <v/>
      </c>
      <c r="AK29" s="349">
        <f>6347.66+380.86</f>
        <v/>
      </c>
      <c r="AL29" s="349">
        <f>6347.66+380.86</f>
        <v/>
      </c>
      <c r="AM29" s="349">
        <f>6347.66+380.86</f>
        <v/>
      </c>
      <c r="AN29" s="349">
        <f>6347.66+380.86</f>
        <v/>
      </c>
      <c r="AO29" s="349">
        <f>6347.66+380.86</f>
        <v/>
      </c>
      <c r="AP29" s="349">
        <f>6347.66+380.86</f>
        <v/>
      </c>
      <c r="AQ29" s="349">
        <f>6347.66+380.86</f>
        <v/>
      </c>
      <c r="AR29" s="349">
        <f>6347.66+380.86</f>
        <v/>
      </c>
      <c r="AS29" s="349">
        <f>6347.66+380.86</f>
        <v/>
      </c>
      <c r="AT29" s="349">
        <f>6347.66+380.86</f>
        <v/>
      </c>
      <c r="AU29" s="349">
        <f>6347.66+380.86</f>
        <v/>
      </c>
      <c r="AV29" s="349">
        <f>6347.66+380.86</f>
        <v/>
      </c>
      <c r="AW29" s="349">
        <f>6347.66+380.86</f>
        <v/>
      </c>
      <c r="AX29" s="349">
        <f>6347.66+380.86</f>
        <v/>
      </c>
      <c r="AY29" s="349">
        <f>6347.66+380.86</f>
        <v/>
      </c>
      <c r="AZ29" s="349">
        <f>6347.66+380.86</f>
        <v/>
      </c>
      <c r="BA29" s="349">
        <f>6347.66+380.86</f>
        <v/>
      </c>
      <c r="BB29" s="349">
        <f>6347.66+380.86</f>
        <v/>
      </c>
      <c r="BC29" s="349">
        <f>6347.66+380.86</f>
        <v/>
      </c>
      <c r="BD29" s="349">
        <f>6347.66+380.86</f>
        <v/>
      </c>
      <c r="BE29" s="349">
        <f>6347.66+380.86</f>
        <v/>
      </c>
      <c r="BF29" s="349">
        <f>6347.66+380.86</f>
        <v/>
      </c>
      <c r="BG29" s="349">
        <f>6347.66+380.86</f>
        <v/>
      </c>
      <c r="BH29" s="349">
        <f>6347.66+380.86</f>
        <v/>
      </c>
      <c r="BI29" s="349">
        <f>6347.66+380.86</f>
        <v/>
      </c>
      <c r="BJ29" s="349">
        <f>6347.66+380.86</f>
        <v/>
      </c>
      <c r="BK29" s="349">
        <f>6347.66+380.86</f>
        <v/>
      </c>
      <c r="BL29" s="349">
        <f>6347.66+380.86</f>
        <v/>
      </c>
      <c r="BM29" s="350">
        <f>SUM(E29:BL29)</f>
        <v/>
      </c>
    </row>
    <row r="30" ht="13.7" customFormat="1" customHeight="1" s="54">
      <c r="A30" s="48">
        <f>A29+1</f>
        <v/>
      </c>
      <c r="B30" s="287" t="inlineStr">
        <is>
          <t>Jorge Luiz Silva Hermenegildo</t>
        </is>
      </c>
      <c r="C30" s="257" t="n"/>
      <c r="D30" s="255" t="n"/>
      <c r="E30" s="349">
        <f>20543.33+1232.6</f>
        <v/>
      </c>
      <c r="F30" s="349">
        <f>20543.33+1232.6</f>
        <v/>
      </c>
      <c r="G30" s="349">
        <f>20543.33+1232.6</f>
        <v/>
      </c>
      <c r="H30" s="349">
        <f>20543.33+1232.6</f>
        <v/>
      </c>
      <c r="I30" s="349">
        <f>20543.33+1232.6</f>
        <v/>
      </c>
      <c r="J30" s="349">
        <f>20543.33+1232.6</f>
        <v/>
      </c>
      <c r="K30" s="349">
        <f>20543.33+1232.6</f>
        <v/>
      </c>
      <c r="L30" s="349">
        <f>20543.33+1232.6</f>
        <v/>
      </c>
      <c r="M30" s="349">
        <f>20543.33+1232.6</f>
        <v/>
      </c>
      <c r="N30" s="349">
        <f>20543.33+1232.6</f>
        <v/>
      </c>
      <c r="O30" s="349">
        <f>20543.33+1232.6</f>
        <v/>
      </c>
      <c r="P30" s="349">
        <f>20543.33+1232.6</f>
        <v/>
      </c>
      <c r="Q30" s="349">
        <f>20543.33+1232.6</f>
        <v/>
      </c>
      <c r="R30" s="349">
        <f>20543.33+1232.6</f>
        <v/>
      </c>
      <c r="S30" s="349">
        <f>20543.33+1232.6</f>
        <v/>
      </c>
      <c r="T30" s="349">
        <f>20543.33+1232.6</f>
        <v/>
      </c>
      <c r="U30" s="349">
        <f>20543.33+1232.6</f>
        <v/>
      </c>
      <c r="V30" s="349">
        <f>20543.33+1232.6</f>
        <v/>
      </c>
      <c r="W30" s="349">
        <f>20543.33+1232.6</f>
        <v/>
      </c>
      <c r="X30" s="349">
        <f>20543.33+1232.6</f>
        <v/>
      </c>
      <c r="Y30" s="349">
        <f>20543.33+1232.6</f>
        <v/>
      </c>
      <c r="Z30" s="349">
        <f>20543.33+1232.6</f>
        <v/>
      </c>
      <c r="AA30" s="349">
        <f>20543.33+1232.6</f>
        <v/>
      </c>
      <c r="AB30" s="349">
        <f>20543.33+1232.6</f>
        <v/>
      </c>
      <c r="AC30" s="349">
        <f>20543.33+1232.6</f>
        <v/>
      </c>
      <c r="AD30" s="349">
        <f>20543.33+1232.6</f>
        <v/>
      </c>
      <c r="AE30" s="349">
        <f>20543.33+1232.6</f>
        <v/>
      </c>
      <c r="AF30" s="349">
        <f>20543.33+1232.6</f>
        <v/>
      </c>
      <c r="AG30" s="349">
        <f>20543.33+1232.6</f>
        <v/>
      </c>
      <c r="AH30" s="349">
        <f>20543.33+1232.6</f>
        <v/>
      </c>
      <c r="AI30" s="349">
        <f>20543.33+1232.6</f>
        <v/>
      </c>
      <c r="AJ30" s="349">
        <f>20543.33+1232.6</f>
        <v/>
      </c>
      <c r="AK30" s="349">
        <f>20543.33+1232.6</f>
        <v/>
      </c>
      <c r="AL30" s="349">
        <f>20543.33+1232.6</f>
        <v/>
      </c>
      <c r="AM30" s="349">
        <f>20543.33+1232.6</f>
        <v/>
      </c>
      <c r="AN30" s="349">
        <f>20543.33+1232.6</f>
        <v/>
      </c>
      <c r="AO30" s="349">
        <f>20543.33+1232.6</f>
        <v/>
      </c>
      <c r="AP30" s="349">
        <f>20543.33+1232.6</f>
        <v/>
      </c>
      <c r="AQ30" s="349">
        <f>20543.33+1232.6</f>
        <v/>
      </c>
      <c r="AR30" s="349">
        <f>20543.33+1232.6</f>
        <v/>
      </c>
      <c r="AS30" s="349">
        <f>20543.33+1232.6</f>
        <v/>
      </c>
      <c r="AT30" s="349">
        <f>20543.33+1232.6</f>
        <v/>
      </c>
      <c r="AU30" s="349">
        <f>20543.33+1232.6</f>
        <v/>
      </c>
      <c r="AV30" s="349">
        <f>20543.33+1232.6</f>
        <v/>
      </c>
      <c r="AW30" s="349">
        <f>20543.33+1232.6</f>
        <v/>
      </c>
      <c r="AX30" s="349">
        <f>20543.33+1232.6</f>
        <v/>
      </c>
      <c r="AY30" s="349">
        <f>20543.33+1232.6</f>
        <v/>
      </c>
      <c r="AZ30" s="349">
        <f>20543.33+1232.6</f>
        <v/>
      </c>
      <c r="BA30" s="349">
        <f>20543.33+1232.6</f>
        <v/>
      </c>
      <c r="BB30" s="349">
        <f>20543.33+1232.6</f>
        <v/>
      </c>
      <c r="BC30" s="349">
        <f>20543.33+1232.6</f>
        <v/>
      </c>
      <c r="BD30" s="349">
        <f>20543.33+1232.6</f>
        <v/>
      </c>
      <c r="BE30" s="349">
        <f>20543.33+1232.6</f>
        <v/>
      </c>
      <c r="BF30" s="349">
        <f>20543.33+1232.6</f>
        <v/>
      </c>
      <c r="BG30" s="349">
        <f>20543.33+1232.6</f>
        <v/>
      </c>
      <c r="BH30" s="349">
        <f>20543.33+1232.6</f>
        <v/>
      </c>
      <c r="BI30" s="349">
        <f>20543.33+1232.6</f>
        <v/>
      </c>
      <c r="BJ30" s="349">
        <f>20543.33+1232.6</f>
        <v/>
      </c>
      <c r="BK30" s="349">
        <f>20543.33+1232.6</f>
        <v/>
      </c>
      <c r="BL30" s="349">
        <f>20543.33+1232.6</f>
        <v/>
      </c>
      <c r="BM30" s="350">
        <f>SUM(E30:BL30)</f>
        <v/>
      </c>
    </row>
    <row r="31" ht="13.7" customFormat="1" customHeight="1" s="54">
      <c r="A31" s="48">
        <f>A30+1</f>
        <v/>
      </c>
      <c r="B31" s="287" t="inlineStr">
        <is>
          <t>Junior Mateus Alves Camargo</t>
        </is>
      </c>
      <c r="C31" s="257" t="n"/>
      <c r="D31" s="255" t="n"/>
      <c r="E31" s="349">
        <f>13351.96+400.56</f>
        <v/>
      </c>
      <c r="F31" s="349">
        <f>13351.96+400.56</f>
        <v/>
      </c>
      <c r="G31" s="349">
        <f>13351.96+400.56</f>
        <v/>
      </c>
      <c r="H31" s="349">
        <f>13351.96+400.56</f>
        <v/>
      </c>
      <c r="I31" s="349">
        <f>13351.96+400.56</f>
        <v/>
      </c>
      <c r="J31" s="349">
        <f>13351.96+400.56</f>
        <v/>
      </c>
      <c r="K31" s="349">
        <f>13351.96+400.56</f>
        <v/>
      </c>
      <c r="L31" s="349">
        <f>13351.96+400.56</f>
        <v/>
      </c>
      <c r="M31" s="349">
        <f>13351.96+400.56</f>
        <v/>
      </c>
      <c r="N31" s="349">
        <f>13351.96+400.56</f>
        <v/>
      </c>
      <c r="O31" s="349">
        <f>13351.96+400.56</f>
        <v/>
      </c>
      <c r="P31" s="349">
        <f>13351.96+400.56</f>
        <v/>
      </c>
      <c r="Q31" s="349">
        <f>13351.96+400.56</f>
        <v/>
      </c>
      <c r="R31" s="349">
        <f>13351.96+400.56</f>
        <v/>
      </c>
      <c r="S31" s="349">
        <f>13351.96+400.56</f>
        <v/>
      </c>
      <c r="T31" s="349">
        <f>13351.96+400.56</f>
        <v/>
      </c>
      <c r="U31" s="349">
        <f>13351.96+400.56</f>
        <v/>
      </c>
      <c r="V31" s="349">
        <f>13351.96+400.56</f>
        <v/>
      </c>
      <c r="W31" s="349">
        <f>13351.96+400.56</f>
        <v/>
      </c>
      <c r="X31" s="349">
        <f>13351.96+400.56</f>
        <v/>
      </c>
      <c r="Y31" s="349">
        <f>13351.96+400.56</f>
        <v/>
      </c>
      <c r="Z31" s="349">
        <f>13351.96+400.56</f>
        <v/>
      </c>
      <c r="AA31" s="349">
        <f>13351.96+400.56</f>
        <v/>
      </c>
      <c r="AB31" s="349">
        <f>13351.96+400.56</f>
        <v/>
      </c>
      <c r="AC31" s="349">
        <f>13351.96+400.56</f>
        <v/>
      </c>
      <c r="AD31" s="349">
        <f>13351.96+400.56</f>
        <v/>
      </c>
      <c r="AE31" s="349">
        <f>13351.96+400.56</f>
        <v/>
      </c>
      <c r="AF31" s="349">
        <f>13351.96+400.56</f>
        <v/>
      </c>
      <c r="AG31" s="349">
        <f>13351.96+400.56</f>
        <v/>
      </c>
      <c r="AH31" s="349">
        <f>13351.96+400.56</f>
        <v/>
      </c>
      <c r="AI31" s="349">
        <f>13351.96+400.56</f>
        <v/>
      </c>
      <c r="AJ31" s="349">
        <f>13351.96+400.56</f>
        <v/>
      </c>
      <c r="AK31" s="349">
        <f>13351.96+400.56</f>
        <v/>
      </c>
      <c r="AL31" s="349">
        <f>13351.96+400.56</f>
        <v/>
      </c>
      <c r="AM31" s="349">
        <f>13351.96+400.56</f>
        <v/>
      </c>
      <c r="AN31" s="349">
        <f>13351.96+400.56</f>
        <v/>
      </c>
      <c r="AO31" s="349">
        <f>13351.96+400.56</f>
        <v/>
      </c>
      <c r="AP31" s="349">
        <f>13351.96+400.56</f>
        <v/>
      </c>
      <c r="AQ31" s="349">
        <f>13351.96+400.56</f>
        <v/>
      </c>
      <c r="AR31" s="349">
        <f>13351.96+400.56</f>
        <v/>
      </c>
      <c r="AS31" s="349">
        <f>13351.96+400.56</f>
        <v/>
      </c>
      <c r="AT31" s="349">
        <f>13351.96+400.56</f>
        <v/>
      </c>
      <c r="AU31" s="349">
        <f>13351.96+400.56</f>
        <v/>
      </c>
      <c r="AV31" s="349">
        <f>13351.96+400.56</f>
        <v/>
      </c>
      <c r="AW31" s="349">
        <f>13351.96+400.56</f>
        <v/>
      </c>
      <c r="AX31" s="349">
        <f>13351.96+400.56</f>
        <v/>
      </c>
      <c r="AY31" s="349">
        <f>13351.96+400.56</f>
        <v/>
      </c>
      <c r="AZ31" s="349">
        <f>13351.96+400.56</f>
        <v/>
      </c>
      <c r="BA31" s="349">
        <f>13351.96+400.56</f>
        <v/>
      </c>
      <c r="BB31" s="349">
        <f>13351.96+400.56</f>
        <v/>
      </c>
      <c r="BC31" s="349">
        <f>13351.96+400.56</f>
        <v/>
      </c>
      <c r="BD31" s="349">
        <f>13351.96+400.56</f>
        <v/>
      </c>
      <c r="BE31" s="349">
        <f>13351.96+400.56</f>
        <v/>
      </c>
      <c r="BF31" s="349">
        <f>13351.96+400.56</f>
        <v/>
      </c>
      <c r="BG31" s="349">
        <f>13351.96+400.56</f>
        <v/>
      </c>
      <c r="BH31" s="349">
        <f>13351.96+400.56</f>
        <v/>
      </c>
      <c r="BI31" s="349">
        <f>13351.96+400.56</f>
        <v/>
      </c>
      <c r="BJ31" s="349">
        <f>13351.96+400.56</f>
        <v/>
      </c>
      <c r="BK31" s="349">
        <f>13351.96+400.56</f>
        <v/>
      </c>
      <c r="BL31" s="349">
        <f>13351.96+400.56</f>
        <v/>
      </c>
      <c r="BM31" s="350">
        <f>SUM(E31:BL31)</f>
        <v/>
      </c>
    </row>
    <row r="32" ht="13.7" customFormat="1" customHeight="1" s="54">
      <c r="A32" s="48">
        <f>A31+1</f>
        <v/>
      </c>
      <c r="B32" s="287" t="inlineStr">
        <is>
          <t>Keyla Junko Shinohara</t>
        </is>
      </c>
      <c r="C32" s="257" t="n"/>
      <c r="D32" s="255" t="n"/>
      <c r="E32" s="349">
        <f>16181.63+1941.8</f>
        <v/>
      </c>
      <c r="F32" s="349">
        <f>16181.63+1941.8</f>
        <v/>
      </c>
      <c r="G32" s="349">
        <f>16181.63+1941.8</f>
        <v/>
      </c>
      <c r="H32" s="349">
        <f>16181.63+1941.8</f>
        <v/>
      </c>
      <c r="I32" s="349">
        <f>16181.63+1941.8</f>
        <v/>
      </c>
      <c r="J32" s="349">
        <f>16181.63+1941.8</f>
        <v/>
      </c>
      <c r="K32" s="349">
        <f>16181.63+1941.8</f>
        <v/>
      </c>
      <c r="L32" s="349">
        <f>16181.63+1941.8</f>
        <v/>
      </c>
      <c r="M32" s="349">
        <f>16181.63+1941.8</f>
        <v/>
      </c>
      <c r="N32" s="349">
        <f>16181.63+1941.8</f>
        <v/>
      </c>
      <c r="O32" s="349">
        <f>16181.63+1941.8</f>
        <v/>
      </c>
      <c r="P32" s="349">
        <f>16181.63+1941.8</f>
        <v/>
      </c>
      <c r="Q32" s="349">
        <f>16181.63+1941.8</f>
        <v/>
      </c>
      <c r="R32" s="349">
        <f>16181.63+1941.8</f>
        <v/>
      </c>
      <c r="S32" s="349">
        <f>16181.63+1941.8</f>
        <v/>
      </c>
      <c r="T32" s="349">
        <f>16181.63+1941.8</f>
        <v/>
      </c>
      <c r="U32" s="349">
        <f>16181.63+1941.8</f>
        <v/>
      </c>
      <c r="V32" s="349">
        <f>16181.63+1941.8</f>
        <v/>
      </c>
      <c r="W32" s="349">
        <f>16181.63+1941.8</f>
        <v/>
      </c>
      <c r="X32" s="349">
        <f>16181.63+1941.8</f>
        <v/>
      </c>
      <c r="Y32" s="349">
        <f>16181.63+1941.8</f>
        <v/>
      </c>
      <c r="Z32" s="349">
        <f>16181.63+1941.8</f>
        <v/>
      </c>
      <c r="AA32" s="349">
        <f>16181.63+1941.8</f>
        <v/>
      </c>
      <c r="AB32" s="349">
        <f>16181.63+1941.8</f>
        <v/>
      </c>
      <c r="AC32" s="349">
        <f>16181.63+1941.8</f>
        <v/>
      </c>
      <c r="AD32" s="349">
        <f>16181.63+1941.8</f>
        <v/>
      </c>
      <c r="AE32" s="349">
        <f>16181.63+1941.8</f>
        <v/>
      </c>
      <c r="AF32" s="349">
        <f>16181.63+1941.8</f>
        <v/>
      </c>
      <c r="AG32" s="349">
        <f>16181.63+1941.8</f>
        <v/>
      </c>
      <c r="AH32" s="349">
        <f>16181.63+1941.8</f>
        <v/>
      </c>
      <c r="AI32" s="349">
        <f>16181.63+1941.8</f>
        <v/>
      </c>
      <c r="AJ32" s="349">
        <f>16181.63+1941.8</f>
        <v/>
      </c>
      <c r="AK32" s="349">
        <f>16181.63+1941.8</f>
        <v/>
      </c>
      <c r="AL32" s="349">
        <f>16181.63+1941.8</f>
        <v/>
      </c>
      <c r="AM32" s="349">
        <f>16181.63+1941.8</f>
        <v/>
      </c>
      <c r="AN32" s="349">
        <f>16181.63+1941.8</f>
        <v/>
      </c>
      <c r="AO32" s="349">
        <f>16181.63+1941.8</f>
        <v/>
      </c>
      <c r="AP32" s="349">
        <f>16181.63+1941.8</f>
        <v/>
      </c>
      <c r="AQ32" s="349">
        <f>16181.63+1941.8</f>
        <v/>
      </c>
      <c r="AR32" s="349">
        <f>16181.63+1941.8</f>
        <v/>
      </c>
      <c r="AS32" s="349">
        <f>16181.63+1941.8</f>
        <v/>
      </c>
      <c r="AT32" s="349">
        <f>16181.63+1941.8</f>
        <v/>
      </c>
      <c r="AU32" s="349">
        <f>16181.63+1941.8</f>
        <v/>
      </c>
      <c r="AV32" s="349">
        <f>16181.63+1941.8</f>
        <v/>
      </c>
      <c r="AW32" s="349">
        <f>16181.63+1941.8</f>
        <v/>
      </c>
      <c r="AX32" s="349">
        <f>16181.63+1941.8</f>
        <v/>
      </c>
      <c r="AY32" s="349">
        <f>16181.63+1941.8</f>
        <v/>
      </c>
      <c r="AZ32" s="349">
        <f>16181.63+1941.8</f>
        <v/>
      </c>
      <c r="BA32" s="349">
        <f>16181.63+1941.8</f>
        <v/>
      </c>
      <c r="BB32" s="349">
        <f>16181.63+1941.8</f>
        <v/>
      </c>
      <c r="BC32" s="349">
        <f>16181.63+1941.8</f>
        <v/>
      </c>
      <c r="BD32" s="349">
        <f>16181.63+1941.8</f>
        <v/>
      </c>
      <c r="BE32" s="349">
        <f>16181.63+1941.8</f>
        <v/>
      </c>
      <c r="BF32" s="349">
        <f>16181.63+1941.8</f>
        <v/>
      </c>
      <c r="BG32" s="349">
        <f>16181.63+1941.8</f>
        <v/>
      </c>
      <c r="BH32" s="349">
        <f>16181.63+1941.8</f>
        <v/>
      </c>
      <c r="BI32" s="349">
        <f>16181.63+1941.8</f>
        <v/>
      </c>
      <c r="BJ32" s="349">
        <f>16181.63+1941.8</f>
        <v/>
      </c>
      <c r="BK32" s="349">
        <f>16181.63+1941.8</f>
        <v/>
      </c>
      <c r="BL32" s="349">
        <f>16181.63+1941.8</f>
        <v/>
      </c>
      <c r="BM32" s="350">
        <f>SUM(E32:BL32)</f>
        <v/>
      </c>
    </row>
    <row r="33" ht="13.7" customFormat="1" customHeight="1" s="54">
      <c r="A33" s="48">
        <f>A32+1</f>
        <v/>
      </c>
      <c r="B33" s="287" t="inlineStr">
        <is>
          <t>Leia Mayer Eyng</t>
        </is>
      </c>
      <c r="C33" s="257" t="n"/>
      <c r="D33" s="255" t="n"/>
      <c r="E33" s="349">
        <f>7989.29</f>
        <v/>
      </c>
      <c r="F33" s="349">
        <f>7989.29</f>
        <v/>
      </c>
      <c r="G33" s="349">
        <f>7989.29</f>
        <v/>
      </c>
      <c r="H33" s="349">
        <f>7989.29</f>
        <v/>
      </c>
      <c r="I33" s="349">
        <f>7989.29</f>
        <v/>
      </c>
      <c r="J33" s="349">
        <f>7989.29</f>
        <v/>
      </c>
      <c r="K33" s="349">
        <f>7989.29</f>
        <v/>
      </c>
      <c r="L33" s="349">
        <f>7989.29</f>
        <v/>
      </c>
      <c r="M33" s="349">
        <f>7989.29</f>
        <v/>
      </c>
      <c r="N33" s="349">
        <f>7989.29</f>
        <v/>
      </c>
      <c r="O33" s="349">
        <f>7989.29</f>
        <v/>
      </c>
      <c r="P33" s="349">
        <f>7989.29</f>
        <v/>
      </c>
      <c r="Q33" s="349">
        <f>7989.29</f>
        <v/>
      </c>
      <c r="R33" s="349">
        <f>7989.29</f>
        <v/>
      </c>
      <c r="S33" s="349">
        <f>7989.29</f>
        <v/>
      </c>
      <c r="T33" s="349">
        <f>7989.29</f>
        <v/>
      </c>
      <c r="U33" s="349">
        <f>7989.29</f>
        <v/>
      </c>
      <c r="V33" s="349">
        <f>7989.29</f>
        <v/>
      </c>
      <c r="W33" s="349">
        <f>7989.29</f>
        <v/>
      </c>
      <c r="X33" s="349">
        <f>7989.29</f>
        <v/>
      </c>
      <c r="Y33" s="349">
        <f>7989.29</f>
        <v/>
      </c>
      <c r="Z33" s="349">
        <f>7989.29</f>
        <v/>
      </c>
      <c r="AA33" s="349">
        <f>7989.29</f>
        <v/>
      </c>
      <c r="AB33" s="349">
        <f>7989.29</f>
        <v/>
      </c>
      <c r="AC33" s="349">
        <f>7989.29</f>
        <v/>
      </c>
      <c r="AD33" s="349">
        <f>7989.29</f>
        <v/>
      </c>
      <c r="AE33" s="349">
        <f>7989.29</f>
        <v/>
      </c>
      <c r="AF33" s="349">
        <f>7989.29</f>
        <v/>
      </c>
      <c r="AG33" s="349">
        <f>7989.29</f>
        <v/>
      </c>
      <c r="AH33" s="349">
        <f>7989.29</f>
        <v/>
      </c>
      <c r="AI33" s="349">
        <f>7989.29</f>
        <v/>
      </c>
      <c r="AJ33" s="349">
        <f>7989.29</f>
        <v/>
      </c>
      <c r="AK33" s="349">
        <f>7989.29</f>
        <v/>
      </c>
      <c r="AL33" s="349">
        <f>7989.29</f>
        <v/>
      </c>
      <c r="AM33" s="349">
        <f>7989.29</f>
        <v/>
      </c>
      <c r="AN33" s="349">
        <f>7989.29</f>
        <v/>
      </c>
      <c r="AO33" s="349">
        <f>7989.29</f>
        <v/>
      </c>
      <c r="AP33" s="349">
        <f>7989.29</f>
        <v/>
      </c>
      <c r="AQ33" s="349">
        <f>7989.29</f>
        <v/>
      </c>
      <c r="AR33" s="349">
        <f>7989.29</f>
        <v/>
      </c>
      <c r="AS33" s="349">
        <f>7989.29</f>
        <v/>
      </c>
      <c r="AT33" s="349">
        <f>7989.29</f>
        <v/>
      </c>
      <c r="AU33" s="349">
        <f>7989.29</f>
        <v/>
      </c>
      <c r="AV33" s="349">
        <f>7989.29</f>
        <v/>
      </c>
      <c r="AW33" s="349">
        <f>7989.29</f>
        <v/>
      </c>
      <c r="AX33" s="349">
        <f>7989.29</f>
        <v/>
      </c>
      <c r="AY33" s="349">
        <f>7989.29</f>
        <v/>
      </c>
      <c r="AZ33" s="349">
        <f>7989.29</f>
        <v/>
      </c>
      <c r="BA33" s="349">
        <f>7989.29</f>
        <v/>
      </c>
      <c r="BB33" s="349">
        <f>7989.29</f>
        <v/>
      </c>
      <c r="BC33" s="349">
        <f>7989.29</f>
        <v/>
      </c>
      <c r="BD33" s="349">
        <f>7989.29</f>
        <v/>
      </c>
      <c r="BE33" s="349">
        <f>7989.29</f>
        <v/>
      </c>
      <c r="BF33" s="349">
        <f>7989.29</f>
        <v/>
      </c>
      <c r="BG33" s="349">
        <f>7989.29</f>
        <v/>
      </c>
      <c r="BH33" s="349">
        <f>7989.29</f>
        <v/>
      </c>
      <c r="BI33" s="349">
        <f>7989.29</f>
        <v/>
      </c>
      <c r="BJ33" s="349">
        <f>7989.29</f>
        <v/>
      </c>
      <c r="BK33" s="349">
        <f>7989.29</f>
        <v/>
      </c>
      <c r="BL33" s="349">
        <f>7989.29</f>
        <v/>
      </c>
      <c r="BM33" s="350">
        <f>SUM(E33:BL33)</f>
        <v/>
      </c>
    </row>
    <row r="34" ht="13.7" customFormat="1" customHeight="1" s="54">
      <c r="A34" s="48">
        <f>A33+1</f>
        <v/>
      </c>
      <c r="B34" s="287" t="inlineStr">
        <is>
          <t>Luciana Paula Bonetti Silva</t>
        </is>
      </c>
      <c r="C34" s="257" t="n"/>
      <c r="D34" s="255" t="n"/>
      <c r="E34" s="349" t="n">
        <v>7113.75</v>
      </c>
      <c r="F34" s="349" t="n">
        <v>7114.75</v>
      </c>
      <c r="G34" s="349" t="n">
        <v>7115.75</v>
      </c>
      <c r="H34" s="349" t="n">
        <v>7116.75</v>
      </c>
      <c r="I34" s="349" t="n">
        <v>7117.75</v>
      </c>
      <c r="J34" s="349" t="n">
        <v>7118.75</v>
      </c>
      <c r="K34" s="349" t="n">
        <v>7119.75</v>
      </c>
      <c r="L34" s="349" t="n">
        <v>7120.75</v>
      </c>
      <c r="M34" s="349" t="n">
        <v>7121.75</v>
      </c>
      <c r="N34" s="349" t="n">
        <v>7122.75</v>
      </c>
      <c r="O34" s="349" t="n">
        <v>7123.75</v>
      </c>
      <c r="P34" s="349" t="n">
        <v>7124.75</v>
      </c>
      <c r="Q34" s="349" t="n">
        <v>7125.75</v>
      </c>
      <c r="R34" s="349" t="n">
        <v>7126.75</v>
      </c>
      <c r="S34" s="349" t="n">
        <v>7127.75</v>
      </c>
      <c r="T34" s="349" t="n">
        <v>7128.75</v>
      </c>
      <c r="U34" s="349" t="n">
        <v>7129.75</v>
      </c>
      <c r="V34" s="349" t="n">
        <v>7130.75</v>
      </c>
      <c r="W34" s="349" t="n">
        <v>7131.75</v>
      </c>
      <c r="X34" s="349" t="n">
        <v>7132.75</v>
      </c>
      <c r="Y34" s="349" t="n">
        <v>7133.75</v>
      </c>
      <c r="Z34" s="349" t="n">
        <v>7134.75</v>
      </c>
      <c r="AA34" s="349" t="n">
        <v>7135.75</v>
      </c>
      <c r="AB34" s="349" t="n">
        <v>7136.75</v>
      </c>
      <c r="AC34" s="349" t="n">
        <v>7137.75</v>
      </c>
      <c r="AD34" s="349" t="n">
        <v>7138.75</v>
      </c>
      <c r="AE34" s="349" t="n">
        <v>7139.75</v>
      </c>
      <c r="AF34" s="349" t="n">
        <v>7140.75</v>
      </c>
      <c r="AG34" s="349" t="n">
        <v>7141.75</v>
      </c>
      <c r="AH34" s="349" t="n">
        <v>7142.75</v>
      </c>
      <c r="AI34" s="349" t="n">
        <v>7143.75</v>
      </c>
      <c r="AJ34" s="349" t="n">
        <v>7144.75</v>
      </c>
      <c r="AK34" s="349" t="n">
        <v>7145.75</v>
      </c>
      <c r="AL34" s="349" t="n">
        <v>7146.75</v>
      </c>
      <c r="AM34" s="349" t="n">
        <v>7147.75</v>
      </c>
      <c r="AN34" s="349" t="n">
        <v>7148.75</v>
      </c>
      <c r="AO34" s="349" t="n">
        <v>7149.75</v>
      </c>
      <c r="AP34" s="349" t="n">
        <v>7150.75</v>
      </c>
      <c r="AQ34" s="349" t="n">
        <v>7151.75</v>
      </c>
      <c r="AR34" s="349" t="n">
        <v>7152.75</v>
      </c>
      <c r="AS34" s="349" t="n">
        <v>7153.75</v>
      </c>
      <c r="AT34" s="349" t="n">
        <v>7154.75</v>
      </c>
      <c r="AU34" s="349" t="n">
        <v>7155.75</v>
      </c>
      <c r="AV34" s="349" t="n">
        <v>7156.75</v>
      </c>
      <c r="AW34" s="349" t="n">
        <v>7157.75</v>
      </c>
      <c r="AX34" s="349" t="n">
        <v>7158.75</v>
      </c>
      <c r="AY34" s="349" t="n">
        <v>7159.75</v>
      </c>
      <c r="AZ34" s="349" t="n">
        <v>7160.75</v>
      </c>
      <c r="BA34" s="349" t="n">
        <v>7161.75</v>
      </c>
      <c r="BB34" s="349" t="n">
        <v>7162.75</v>
      </c>
      <c r="BC34" s="349" t="n">
        <v>7163.75</v>
      </c>
      <c r="BD34" s="349" t="n">
        <v>7164.75</v>
      </c>
      <c r="BE34" s="349" t="n">
        <v>7165.75</v>
      </c>
      <c r="BF34" s="349" t="n">
        <v>7166.75</v>
      </c>
      <c r="BG34" s="349" t="n">
        <v>7167.75</v>
      </c>
      <c r="BH34" s="349" t="n">
        <v>7168.75</v>
      </c>
      <c r="BI34" s="349" t="n">
        <v>7169.75</v>
      </c>
      <c r="BJ34" s="349" t="n">
        <v>7170.75</v>
      </c>
      <c r="BK34" s="349" t="n">
        <v>7171.75</v>
      </c>
      <c r="BL34" s="349" t="n">
        <v>7172.75</v>
      </c>
      <c r="BM34" s="350">
        <f>SUM(E34:BL34)</f>
        <v/>
      </c>
    </row>
    <row r="35" ht="13.7" customFormat="1" customHeight="1" s="54">
      <c r="A35" s="48">
        <f>A34+1</f>
        <v/>
      </c>
      <c r="B35" s="287" t="inlineStr">
        <is>
          <t>Maeli Faé</t>
        </is>
      </c>
      <c r="C35" s="257" t="n"/>
      <c r="D35" s="255" t="n"/>
      <c r="E35" s="349">
        <f>12620.75+757.24</f>
        <v/>
      </c>
      <c r="F35" s="349">
        <f>12620.75+757.24</f>
        <v/>
      </c>
      <c r="G35" s="349">
        <f>12620.75+757.24</f>
        <v/>
      </c>
      <c r="H35" s="349">
        <f>12620.75+757.24</f>
        <v/>
      </c>
      <c r="I35" s="349">
        <f>12620.75+757.24</f>
        <v/>
      </c>
      <c r="J35" s="349">
        <f>12620.75+757.24</f>
        <v/>
      </c>
      <c r="K35" s="349">
        <f>12620.75+757.24</f>
        <v/>
      </c>
      <c r="L35" s="349">
        <f>12620.75+757.24</f>
        <v/>
      </c>
      <c r="M35" s="349">
        <f>12620.75+757.24</f>
        <v/>
      </c>
      <c r="N35" s="349">
        <f>12620.75+757.24</f>
        <v/>
      </c>
      <c r="O35" s="349">
        <f>12620.75+757.24</f>
        <v/>
      </c>
      <c r="P35" s="349">
        <f>12620.75+757.24</f>
        <v/>
      </c>
      <c r="Q35" s="349">
        <f>12620.75+757.24</f>
        <v/>
      </c>
      <c r="R35" s="349">
        <f>12620.75+757.24</f>
        <v/>
      </c>
      <c r="S35" s="349">
        <f>12620.75+757.24</f>
        <v/>
      </c>
      <c r="T35" s="349">
        <f>12620.75+757.24</f>
        <v/>
      </c>
      <c r="U35" s="349">
        <f>12620.75+757.24</f>
        <v/>
      </c>
      <c r="V35" s="349">
        <f>12620.75+757.24</f>
        <v/>
      </c>
      <c r="W35" s="349">
        <f>12620.75+757.24</f>
        <v/>
      </c>
      <c r="X35" s="349">
        <f>12620.75+757.24</f>
        <v/>
      </c>
      <c r="Y35" s="349">
        <f>12620.75+757.24</f>
        <v/>
      </c>
      <c r="Z35" s="349">
        <f>12620.75+757.24</f>
        <v/>
      </c>
      <c r="AA35" s="349">
        <f>12620.75+757.24</f>
        <v/>
      </c>
      <c r="AB35" s="349">
        <f>12620.75+757.24</f>
        <v/>
      </c>
      <c r="AC35" s="349">
        <f>12620.75+757.24</f>
        <v/>
      </c>
      <c r="AD35" s="349">
        <f>12620.75+757.24</f>
        <v/>
      </c>
      <c r="AE35" s="349">
        <f>12620.75+757.24</f>
        <v/>
      </c>
      <c r="AF35" s="349">
        <f>12620.75+757.24</f>
        <v/>
      </c>
      <c r="AG35" s="349">
        <f>12620.75+757.24</f>
        <v/>
      </c>
      <c r="AH35" s="349">
        <f>12620.75+757.24</f>
        <v/>
      </c>
      <c r="AI35" s="349">
        <f>12620.75+757.24</f>
        <v/>
      </c>
      <c r="AJ35" s="349">
        <f>12620.75+757.24</f>
        <v/>
      </c>
      <c r="AK35" s="349">
        <f>12620.75+757.24</f>
        <v/>
      </c>
      <c r="AL35" s="349">
        <f>12620.75+757.24</f>
        <v/>
      </c>
      <c r="AM35" s="349">
        <f>12620.75+757.24</f>
        <v/>
      </c>
      <c r="AN35" s="349">
        <f>12620.75+757.24</f>
        <v/>
      </c>
      <c r="AO35" s="349">
        <f>12620.75+757.24</f>
        <v/>
      </c>
      <c r="AP35" s="349">
        <f>12620.75+757.24</f>
        <v/>
      </c>
      <c r="AQ35" s="349">
        <f>12620.75+757.24</f>
        <v/>
      </c>
      <c r="AR35" s="349">
        <f>12620.75+757.24</f>
        <v/>
      </c>
      <c r="AS35" s="349">
        <f>12620.75+757.24</f>
        <v/>
      </c>
      <c r="AT35" s="349">
        <f>12620.75+757.24</f>
        <v/>
      </c>
      <c r="AU35" s="349">
        <f>12620.75+757.24</f>
        <v/>
      </c>
      <c r="AV35" s="349">
        <f>12620.75+757.24</f>
        <v/>
      </c>
      <c r="AW35" s="349">
        <f>12620.75+757.24</f>
        <v/>
      </c>
      <c r="AX35" s="349">
        <f>12620.75+757.24</f>
        <v/>
      </c>
      <c r="AY35" s="349">
        <f>12620.75+757.24</f>
        <v/>
      </c>
      <c r="AZ35" s="349">
        <f>12620.75+757.24</f>
        <v/>
      </c>
      <c r="BA35" s="349">
        <f>12620.75+757.24</f>
        <v/>
      </c>
      <c r="BB35" s="349">
        <f>12620.75+757.24</f>
        <v/>
      </c>
      <c r="BC35" s="349">
        <f>12620.75+757.24</f>
        <v/>
      </c>
      <c r="BD35" s="349">
        <f>12620.75+757.24</f>
        <v/>
      </c>
      <c r="BE35" s="349">
        <f>12620.75+757.24</f>
        <v/>
      </c>
      <c r="BF35" s="349">
        <f>12620.75+757.24</f>
        <v/>
      </c>
      <c r="BG35" s="349">
        <f>12620.75+757.24</f>
        <v/>
      </c>
      <c r="BH35" s="349">
        <f>12620.75+757.24</f>
        <v/>
      </c>
      <c r="BI35" s="349">
        <f>12620.75+757.24</f>
        <v/>
      </c>
      <c r="BJ35" s="349">
        <f>12620.75+757.24</f>
        <v/>
      </c>
      <c r="BK35" s="349">
        <f>12620.75+757.24</f>
        <v/>
      </c>
      <c r="BL35" s="349">
        <f>12620.75+757.24</f>
        <v/>
      </c>
      <c r="BM35" s="350">
        <f>SUM(E35:BL35)</f>
        <v/>
      </c>
    </row>
    <row r="36" ht="13.7" customFormat="1" customHeight="1" s="54">
      <c r="A36" s="48">
        <f>A35+1</f>
        <v/>
      </c>
      <c r="B36" s="287" t="inlineStr">
        <is>
          <t>Paulo Roberto Xavier</t>
        </is>
      </c>
      <c r="C36" s="257" t="n"/>
      <c r="D36" s="255" t="n"/>
      <c r="E36" s="349">
        <f>8410.29+504.62</f>
        <v/>
      </c>
      <c r="F36" s="349">
        <f>8410.29+504.62</f>
        <v/>
      </c>
      <c r="G36" s="349">
        <f>8410.29+504.62</f>
        <v/>
      </c>
      <c r="H36" s="349">
        <f>8410.29+504.62</f>
        <v/>
      </c>
      <c r="I36" s="349">
        <f>8410.29+504.62</f>
        <v/>
      </c>
      <c r="J36" s="349">
        <f>8410.29+504.62</f>
        <v/>
      </c>
      <c r="K36" s="349">
        <f>8410.29+504.62</f>
        <v/>
      </c>
      <c r="L36" s="349">
        <f>8410.29+504.62</f>
        <v/>
      </c>
      <c r="M36" s="349">
        <f>8410.29+504.62</f>
        <v/>
      </c>
      <c r="N36" s="349">
        <f>8410.29+504.62</f>
        <v/>
      </c>
      <c r="O36" s="349">
        <f>8410.29+504.62</f>
        <v/>
      </c>
      <c r="P36" s="349">
        <f>8410.29+504.62</f>
        <v/>
      </c>
      <c r="Q36" s="349">
        <f>8410.29+504.62</f>
        <v/>
      </c>
      <c r="R36" s="349">
        <f>8410.29+504.62</f>
        <v/>
      </c>
      <c r="S36" s="349">
        <f>8410.29+504.62</f>
        <v/>
      </c>
      <c r="T36" s="349">
        <f>8410.29+504.62</f>
        <v/>
      </c>
      <c r="U36" s="349">
        <f>8410.29+504.62</f>
        <v/>
      </c>
      <c r="V36" s="349">
        <f>8410.29+504.62</f>
        <v/>
      </c>
      <c r="W36" s="349">
        <f>8410.29+504.62</f>
        <v/>
      </c>
      <c r="X36" s="349">
        <f>8410.29+504.62</f>
        <v/>
      </c>
      <c r="Y36" s="349">
        <f>8410.29+504.62</f>
        <v/>
      </c>
      <c r="Z36" s="349">
        <f>8410.29+504.62</f>
        <v/>
      </c>
      <c r="AA36" s="349">
        <f>8410.29+504.62</f>
        <v/>
      </c>
      <c r="AB36" s="349">
        <f>8410.29+504.62</f>
        <v/>
      </c>
      <c r="AC36" s="349">
        <f>8410.29+504.62</f>
        <v/>
      </c>
      <c r="AD36" s="349">
        <f>8410.29+504.62</f>
        <v/>
      </c>
      <c r="AE36" s="349">
        <f>8410.29+504.62</f>
        <v/>
      </c>
      <c r="AF36" s="349">
        <f>8410.29+504.62</f>
        <v/>
      </c>
      <c r="AG36" s="349">
        <f>8410.29+504.62</f>
        <v/>
      </c>
      <c r="AH36" s="349">
        <f>8410.29+504.62</f>
        <v/>
      </c>
      <c r="AI36" s="349">
        <f>8410.29+504.62</f>
        <v/>
      </c>
      <c r="AJ36" s="349">
        <f>8410.29+504.62</f>
        <v/>
      </c>
      <c r="AK36" s="349">
        <f>8410.29+504.62</f>
        <v/>
      </c>
      <c r="AL36" s="349">
        <f>8410.29+504.62</f>
        <v/>
      </c>
      <c r="AM36" s="349">
        <f>8410.29+504.62</f>
        <v/>
      </c>
      <c r="AN36" s="349">
        <f>8410.29+504.62</f>
        <v/>
      </c>
      <c r="AO36" s="349">
        <f>8410.29+504.62</f>
        <v/>
      </c>
      <c r="AP36" s="349">
        <f>8410.29+504.62</f>
        <v/>
      </c>
      <c r="AQ36" s="349">
        <f>8410.29+504.62</f>
        <v/>
      </c>
      <c r="AR36" s="349">
        <f>8410.29+504.62</f>
        <v/>
      </c>
      <c r="AS36" s="349">
        <f>8410.29+504.62</f>
        <v/>
      </c>
      <c r="AT36" s="349">
        <f>8410.29+504.62</f>
        <v/>
      </c>
      <c r="AU36" s="349">
        <f>8410.29+504.62</f>
        <v/>
      </c>
      <c r="AV36" s="349">
        <f>8410.29+504.62</f>
        <v/>
      </c>
      <c r="AW36" s="349">
        <f>8410.29+504.62</f>
        <v/>
      </c>
      <c r="AX36" s="349">
        <f>8410.29+504.62</f>
        <v/>
      </c>
      <c r="AY36" s="349">
        <f>8410.29+504.62</f>
        <v/>
      </c>
      <c r="AZ36" s="349">
        <f>8410.29+504.62</f>
        <v/>
      </c>
      <c r="BA36" s="349">
        <f>8410.29+504.62</f>
        <v/>
      </c>
      <c r="BB36" s="349">
        <f>8410.29+504.62</f>
        <v/>
      </c>
      <c r="BC36" s="349">
        <f>8410.29+504.62</f>
        <v/>
      </c>
      <c r="BD36" s="349">
        <f>8410.29+504.62</f>
        <v/>
      </c>
      <c r="BE36" s="349">
        <f>8410.29+504.62</f>
        <v/>
      </c>
      <c r="BF36" s="349">
        <f>8410.29+504.62</f>
        <v/>
      </c>
      <c r="BG36" s="349">
        <f>8410.29+504.62</f>
        <v/>
      </c>
      <c r="BH36" s="349">
        <f>8410.29+504.62</f>
        <v/>
      </c>
      <c r="BI36" s="349">
        <f>8410.29+504.62</f>
        <v/>
      </c>
      <c r="BJ36" s="349">
        <f>8410.29+504.62</f>
        <v/>
      </c>
      <c r="BK36" s="349">
        <f>8410.29+504.62</f>
        <v/>
      </c>
      <c r="BL36" s="349">
        <f>8410.29+504.62</f>
        <v/>
      </c>
      <c r="BM36" s="350">
        <f>SUM(E36:BL36)</f>
        <v/>
      </c>
    </row>
    <row r="37" ht="13.7" customFormat="1" customHeight="1" s="54">
      <c r="A37" s="48">
        <f>A36+1</f>
        <v/>
      </c>
      <c r="B37" s="287" t="inlineStr">
        <is>
          <t>Rafael Aleixo de Souza</t>
        </is>
      </c>
      <c r="C37" s="257" t="n"/>
      <c r="D37" s="255" t="n"/>
      <c r="E37" s="349">
        <f>10949.97+985.5</f>
        <v/>
      </c>
      <c r="F37" s="349">
        <f>10949.97+985.5</f>
        <v/>
      </c>
      <c r="G37" s="349">
        <f>10949.97+985.5</f>
        <v/>
      </c>
      <c r="H37" s="349">
        <f>10949.97+985.5</f>
        <v/>
      </c>
      <c r="I37" s="349">
        <f>10949.97+985.5</f>
        <v/>
      </c>
      <c r="J37" s="349">
        <f>10949.97+985.5</f>
        <v/>
      </c>
      <c r="K37" s="349">
        <f>10949.97+985.5</f>
        <v/>
      </c>
      <c r="L37" s="349">
        <f>10949.97+985.5</f>
        <v/>
      </c>
      <c r="M37" s="349">
        <f>10949.97+985.5</f>
        <v/>
      </c>
      <c r="N37" s="349">
        <f>10949.97+985.5</f>
        <v/>
      </c>
      <c r="O37" s="349">
        <f>10949.97+985.5</f>
        <v/>
      </c>
      <c r="P37" s="349">
        <f>10949.97+985.5</f>
        <v/>
      </c>
      <c r="Q37" s="349">
        <f>10949.97+985.5</f>
        <v/>
      </c>
      <c r="R37" s="349">
        <f>10949.97+985.5</f>
        <v/>
      </c>
      <c r="S37" s="349">
        <f>10949.97+985.5</f>
        <v/>
      </c>
      <c r="T37" s="349">
        <f>10949.97+985.5</f>
        <v/>
      </c>
      <c r="U37" s="349">
        <f>10949.97+985.5</f>
        <v/>
      </c>
      <c r="V37" s="349">
        <f>10949.97+985.5</f>
        <v/>
      </c>
      <c r="W37" s="349">
        <f>10949.97+985.5</f>
        <v/>
      </c>
      <c r="X37" s="349">
        <f>10949.97+985.5</f>
        <v/>
      </c>
      <c r="Y37" s="349">
        <f>10949.97+985.5</f>
        <v/>
      </c>
      <c r="Z37" s="349">
        <f>10949.97+985.5</f>
        <v/>
      </c>
      <c r="AA37" s="349">
        <f>10949.97+985.5</f>
        <v/>
      </c>
      <c r="AB37" s="349">
        <f>10949.97+985.5</f>
        <v/>
      </c>
      <c r="AC37" s="349">
        <f>10949.97+985.5</f>
        <v/>
      </c>
      <c r="AD37" s="349">
        <f>10949.97+985.5</f>
        <v/>
      </c>
      <c r="AE37" s="349">
        <f>10949.97+985.5</f>
        <v/>
      </c>
      <c r="AF37" s="349">
        <f>10949.97+985.5</f>
        <v/>
      </c>
      <c r="AG37" s="349">
        <f>10949.97+985.5</f>
        <v/>
      </c>
      <c r="AH37" s="349">
        <f>10949.97+985.5</f>
        <v/>
      </c>
      <c r="AI37" s="349">
        <f>10949.97+985.5</f>
        <v/>
      </c>
      <c r="AJ37" s="349">
        <f>10949.97+985.5</f>
        <v/>
      </c>
      <c r="AK37" s="349">
        <f>10949.97+985.5</f>
        <v/>
      </c>
      <c r="AL37" s="349">
        <f>10949.97+985.5</f>
        <v/>
      </c>
      <c r="AM37" s="349">
        <f>10949.97+985.5</f>
        <v/>
      </c>
      <c r="AN37" s="349">
        <f>10949.97+985.5</f>
        <v/>
      </c>
      <c r="AO37" s="349">
        <f>10949.97+985.5</f>
        <v/>
      </c>
      <c r="AP37" s="349">
        <f>10949.97+985.5</f>
        <v/>
      </c>
      <c r="AQ37" s="349">
        <f>10949.97+985.5</f>
        <v/>
      </c>
      <c r="AR37" s="349">
        <f>10949.97+985.5</f>
        <v/>
      </c>
      <c r="AS37" s="349">
        <f>10949.97+985.5</f>
        <v/>
      </c>
      <c r="AT37" s="349">
        <f>10949.97+985.5</f>
        <v/>
      </c>
      <c r="AU37" s="349">
        <f>10949.97+985.5</f>
        <v/>
      </c>
      <c r="AV37" s="349">
        <f>10949.97+985.5</f>
        <v/>
      </c>
      <c r="AW37" s="349">
        <f>10949.97+985.5</f>
        <v/>
      </c>
      <c r="AX37" s="349">
        <f>10949.97+985.5</f>
        <v/>
      </c>
      <c r="AY37" s="349">
        <f>10949.97+985.5</f>
        <v/>
      </c>
      <c r="AZ37" s="349">
        <f>10949.97+985.5</f>
        <v/>
      </c>
      <c r="BA37" s="349">
        <f>10949.97+985.5</f>
        <v/>
      </c>
      <c r="BB37" s="349">
        <f>10949.97+985.5</f>
        <v/>
      </c>
      <c r="BC37" s="349">
        <f>10949.97+985.5</f>
        <v/>
      </c>
      <c r="BD37" s="349">
        <f>10949.97+985.5</f>
        <v/>
      </c>
      <c r="BE37" s="349">
        <f>10949.97+985.5</f>
        <v/>
      </c>
      <c r="BF37" s="349">
        <f>10949.97+985.5</f>
        <v/>
      </c>
      <c r="BG37" s="349">
        <f>10949.97+985.5</f>
        <v/>
      </c>
      <c r="BH37" s="349">
        <f>10949.97+985.5</f>
        <v/>
      </c>
      <c r="BI37" s="349">
        <f>10949.97+985.5</f>
        <v/>
      </c>
      <c r="BJ37" s="349">
        <f>10949.97+985.5</f>
        <v/>
      </c>
      <c r="BK37" s="349">
        <f>10949.97+985.5</f>
        <v/>
      </c>
      <c r="BL37" s="349">
        <f>10949.97+985.5</f>
        <v/>
      </c>
      <c r="BM37" s="350">
        <f>SUM(E37:BL37)</f>
        <v/>
      </c>
    </row>
    <row r="38" ht="13.7" customFormat="1" customHeight="1" s="54">
      <c r="A38" s="48">
        <f>A37+1</f>
        <v/>
      </c>
      <c r="B38" s="287" t="inlineStr">
        <is>
          <t>Ronivaldo Pereira de Araujo</t>
        </is>
      </c>
      <c r="C38" s="257" t="n"/>
      <c r="D38" s="255" t="n"/>
      <c r="E38" s="349">
        <f>9630.93+866.78</f>
        <v/>
      </c>
      <c r="F38" s="349">
        <f>9630.93+866.78</f>
        <v/>
      </c>
      <c r="G38" s="349">
        <f>9630.93+866.78</f>
        <v/>
      </c>
      <c r="H38" s="349">
        <f>9630.93+866.78</f>
        <v/>
      </c>
      <c r="I38" s="349">
        <f>9630.93+866.78</f>
        <v/>
      </c>
      <c r="J38" s="349">
        <f>9630.93+866.78</f>
        <v/>
      </c>
      <c r="K38" s="349">
        <f>9630.93+866.78</f>
        <v/>
      </c>
      <c r="L38" s="349">
        <f>9630.93+866.78</f>
        <v/>
      </c>
      <c r="M38" s="349">
        <f>9630.93+866.78</f>
        <v/>
      </c>
      <c r="N38" s="349">
        <f>9630.93+866.78</f>
        <v/>
      </c>
      <c r="O38" s="349">
        <f>9630.93+866.78</f>
        <v/>
      </c>
      <c r="P38" s="349">
        <f>9630.93+866.78</f>
        <v/>
      </c>
      <c r="Q38" s="349">
        <f>9630.93+866.78</f>
        <v/>
      </c>
      <c r="R38" s="349">
        <f>9630.93+866.78</f>
        <v/>
      </c>
      <c r="S38" s="349">
        <f>9630.93+866.78</f>
        <v/>
      </c>
      <c r="T38" s="349">
        <f>9630.93+866.78</f>
        <v/>
      </c>
      <c r="U38" s="349">
        <f>9630.93+866.78</f>
        <v/>
      </c>
      <c r="V38" s="349">
        <f>9630.93+866.78</f>
        <v/>
      </c>
      <c r="W38" s="349">
        <f>9630.93+866.78</f>
        <v/>
      </c>
      <c r="X38" s="349">
        <f>9630.93+866.78</f>
        <v/>
      </c>
      <c r="Y38" s="349">
        <f>9630.93+866.78</f>
        <v/>
      </c>
      <c r="Z38" s="349">
        <f>9630.93+866.78</f>
        <v/>
      </c>
      <c r="AA38" s="349">
        <f>9630.93+866.78</f>
        <v/>
      </c>
      <c r="AB38" s="349">
        <f>9630.93+866.78</f>
        <v/>
      </c>
      <c r="AC38" s="349">
        <f>9630.93+866.78</f>
        <v/>
      </c>
      <c r="AD38" s="349">
        <f>9630.93+866.78</f>
        <v/>
      </c>
      <c r="AE38" s="349">
        <f>9630.93+866.78</f>
        <v/>
      </c>
      <c r="AF38" s="349">
        <f>9630.93+866.78</f>
        <v/>
      </c>
      <c r="AG38" s="349">
        <f>9630.93+866.78</f>
        <v/>
      </c>
      <c r="AH38" s="349">
        <f>9630.93+866.78</f>
        <v/>
      </c>
      <c r="AI38" s="349">
        <f>9630.93+866.78</f>
        <v/>
      </c>
      <c r="AJ38" s="349">
        <f>9630.93+866.78</f>
        <v/>
      </c>
      <c r="AK38" s="349">
        <f>9630.93+866.78</f>
        <v/>
      </c>
      <c r="AL38" s="349">
        <f>9630.93+866.78</f>
        <v/>
      </c>
      <c r="AM38" s="349">
        <f>9630.93+866.78</f>
        <v/>
      </c>
      <c r="AN38" s="349">
        <f>9630.93+866.78</f>
        <v/>
      </c>
      <c r="AO38" s="349">
        <f>9630.93+866.78</f>
        <v/>
      </c>
      <c r="AP38" s="349">
        <f>9630.93+866.78</f>
        <v/>
      </c>
      <c r="AQ38" s="349">
        <f>9630.93+866.78</f>
        <v/>
      </c>
      <c r="AR38" s="349">
        <f>9630.93+866.78</f>
        <v/>
      </c>
      <c r="AS38" s="349">
        <f>9630.93+866.78</f>
        <v/>
      </c>
      <c r="AT38" s="349">
        <f>9630.93+866.78</f>
        <v/>
      </c>
      <c r="AU38" s="349">
        <f>9630.93+866.78</f>
        <v/>
      </c>
      <c r="AV38" s="349">
        <f>9630.93+866.78</f>
        <v/>
      </c>
      <c r="AW38" s="349">
        <f>9630.93+866.78</f>
        <v/>
      </c>
      <c r="AX38" s="349">
        <f>9630.93+866.78</f>
        <v/>
      </c>
      <c r="AY38" s="349">
        <f>9630.93+866.78</f>
        <v/>
      </c>
      <c r="AZ38" s="349">
        <f>9630.93+866.78</f>
        <v/>
      </c>
      <c r="BA38" s="349">
        <f>9630.93+866.78</f>
        <v/>
      </c>
      <c r="BB38" s="349">
        <f>9630.93+866.78</f>
        <v/>
      </c>
      <c r="BC38" s="349">
        <f>9630.93+866.78</f>
        <v/>
      </c>
      <c r="BD38" s="349">
        <f>9630.93+866.78</f>
        <v/>
      </c>
      <c r="BE38" s="349">
        <f>9630.93+866.78</f>
        <v/>
      </c>
      <c r="BF38" s="349">
        <f>9630.93+866.78</f>
        <v/>
      </c>
      <c r="BG38" s="349">
        <f>9630.93+866.78</f>
        <v/>
      </c>
      <c r="BH38" s="349">
        <f>9630.93+866.78</f>
        <v/>
      </c>
      <c r="BI38" s="349">
        <f>9630.93+866.78</f>
        <v/>
      </c>
      <c r="BJ38" s="349">
        <f>9630.93+866.78</f>
        <v/>
      </c>
      <c r="BK38" s="349">
        <f>9630.93+866.78</f>
        <v/>
      </c>
      <c r="BL38" s="349">
        <f>9630.93+866.78</f>
        <v/>
      </c>
      <c r="BM38" s="350">
        <f>SUM(E38:BL38)</f>
        <v/>
      </c>
    </row>
    <row r="39" ht="13.7" customFormat="1" customHeight="1" s="54">
      <c r="A39" s="48">
        <f>A38+1</f>
        <v/>
      </c>
      <c r="B39" s="287" t="inlineStr">
        <is>
          <t>Rubens Costa da Silva</t>
        </is>
      </c>
      <c r="C39" s="257" t="n"/>
      <c r="D39" s="255" t="n"/>
      <c r="E39" s="349">
        <f>6566.54</f>
        <v/>
      </c>
      <c r="F39" s="349">
        <f>6566.54</f>
        <v/>
      </c>
      <c r="G39" s="349">
        <f>6566.54</f>
        <v/>
      </c>
      <c r="H39" s="349">
        <f>6566.54</f>
        <v/>
      </c>
      <c r="I39" s="349">
        <f>6566.54</f>
        <v/>
      </c>
      <c r="J39" s="349">
        <f>6566.54</f>
        <v/>
      </c>
      <c r="K39" s="349">
        <f>6566.54</f>
        <v/>
      </c>
      <c r="L39" s="349">
        <f>6566.54</f>
        <v/>
      </c>
      <c r="M39" s="349">
        <f>6566.54</f>
        <v/>
      </c>
      <c r="N39" s="349">
        <f>6566.54</f>
        <v/>
      </c>
      <c r="O39" s="349">
        <f>6566.54</f>
        <v/>
      </c>
      <c r="P39" s="349">
        <f>6566.54</f>
        <v/>
      </c>
      <c r="Q39" s="349">
        <f>6566.54</f>
        <v/>
      </c>
      <c r="R39" s="349">
        <f>6566.54</f>
        <v/>
      </c>
      <c r="S39" s="349">
        <f>6566.54</f>
        <v/>
      </c>
      <c r="T39" s="349">
        <f>6566.54</f>
        <v/>
      </c>
      <c r="U39" s="349">
        <f>6566.54</f>
        <v/>
      </c>
      <c r="V39" s="349">
        <f>6566.54</f>
        <v/>
      </c>
      <c r="W39" s="349">
        <f>6566.54</f>
        <v/>
      </c>
      <c r="X39" s="349">
        <f>6566.54</f>
        <v/>
      </c>
      <c r="Y39" s="349">
        <f>6566.54</f>
        <v/>
      </c>
      <c r="Z39" s="349">
        <f>6566.54</f>
        <v/>
      </c>
      <c r="AA39" s="349">
        <f>6566.54</f>
        <v/>
      </c>
      <c r="AB39" s="349">
        <f>6566.54</f>
        <v/>
      </c>
      <c r="AC39" s="349">
        <f>6566.54</f>
        <v/>
      </c>
      <c r="AD39" s="349">
        <f>6566.54</f>
        <v/>
      </c>
      <c r="AE39" s="349">
        <f>6566.54</f>
        <v/>
      </c>
      <c r="AF39" s="349">
        <f>6566.54</f>
        <v/>
      </c>
      <c r="AG39" s="349">
        <f>6566.54</f>
        <v/>
      </c>
      <c r="AH39" s="349">
        <f>6566.54</f>
        <v/>
      </c>
      <c r="AI39" s="349">
        <f>6566.54</f>
        <v/>
      </c>
      <c r="AJ39" s="349">
        <f>6566.54</f>
        <v/>
      </c>
      <c r="AK39" s="349">
        <f>6566.54</f>
        <v/>
      </c>
      <c r="AL39" s="349">
        <f>6566.54</f>
        <v/>
      </c>
      <c r="AM39" s="349">
        <f>6566.54</f>
        <v/>
      </c>
      <c r="AN39" s="349">
        <f>6566.54</f>
        <v/>
      </c>
      <c r="AO39" s="349">
        <f>6566.54</f>
        <v/>
      </c>
      <c r="AP39" s="349">
        <f>6566.54</f>
        <v/>
      </c>
      <c r="AQ39" s="349">
        <f>6566.54</f>
        <v/>
      </c>
      <c r="AR39" s="349">
        <f>6566.54</f>
        <v/>
      </c>
      <c r="AS39" s="349">
        <f>6566.54</f>
        <v/>
      </c>
      <c r="AT39" s="349">
        <f>6566.54</f>
        <v/>
      </c>
      <c r="AU39" s="349">
        <f>6566.54</f>
        <v/>
      </c>
      <c r="AV39" s="349">
        <f>6566.54</f>
        <v/>
      </c>
      <c r="AW39" s="349">
        <f>6566.54</f>
        <v/>
      </c>
      <c r="AX39" s="349">
        <f>6566.54</f>
        <v/>
      </c>
      <c r="AY39" s="349">
        <f>6566.54</f>
        <v/>
      </c>
      <c r="AZ39" s="349">
        <f>6566.54</f>
        <v/>
      </c>
      <c r="BA39" s="349">
        <f>6566.54</f>
        <v/>
      </c>
      <c r="BB39" s="349">
        <f>6566.54</f>
        <v/>
      </c>
      <c r="BC39" s="349">
        <f>6566.54</f>
        <v/>
      </c>
      <c r="BD39" s="349">
        <f>6566.54</f>
        <v/>
      </c>
      <c r="BE39" s="349">
        <f>6566.54</f>
        <v/>
      </c>
      <c r="BF39" s="349">
        <f>6566.54</f>
        <v/>
      </c>
      <c r="BG39" s="349">
        <f>6566.54</f>
        <v/>
      </c>
      <c r="BH39" s="349">
        <f>6566.54</f>
        <v/>
      </c>
      <c r="BI39" s="349">
        <f>6566.54</f>
        <v/>
      </c>
      <c r="BJ39" s="349">
        <f>6566.54</f>
        <v/>
      </c>
      <c r="BK39" s="349">
        <f>6566.54</f>
        <v/>
      </c>
      <c r="BL39" s="349">
        <f>6566.54</f>
        <v/>
      </c>
      <c r="BM39" s="350">
        <f>SUM(E39:BL39)</f>
        <v/>
      </c>
    </row>
    <row r="40" ht="13.7" customFormat="1" customHeight="1" s="54">
      <c r="A40" s="48">
        <f>A39+1</f>
        <v/>
      </c>
      <c r="B40" s="288" t="inlineStr">
        <is>
          <t>Amir Mattar Valente</t>
        </is>
      </c>
      <c r="C40" s="257" t="n"/>
      <c r="D40" s="255" t="n"/>
      <c r="E40" s="349">
        <f>26813.37+804.4</f>
        <v/>
      </c>
      <c r="F40" s="349">
        <f>26813.37+804.4</f>
        <v/>
      </c>
      <c r="G40" s="349">
        <f>26813.37+804.4</f>
        <v/>
      </c>
      <c r="H40" s="349">
        <f>26813.37+804.4</f>
        <v/>
      </c>
      <c r="I40" s="349">
        <f>26813.37+804.4</f>
        <v/>
      </c>
      <c r="J40" s="349">
        <f>26813.37+804.4</f>
        <v/>
      </c>
      <c r="K40" s="349">
        <f>26813.37+804.4</f>
        <v/>
      </c>
      <c r="L40" s="349">
        <f>26813.37+804.4</f>
        <v/>
      </c>
      <c r="M40" s="349">
        <f>26813.37+804.4</f>
        <v/>
      </c>
      <c r="N40" s="349">
        <f>26813.37+804.4</f>
        <v/>
      </c>
      <c r="O40" s="349">
        <f>26813.37+804.4</f>
        <v/>
      </c>
      <c r="P40" s="349">
        <f>26813.37+804.4</f>
        <v/>
      </c>
      <c r="Q40" s="349">
        <f>26813.37+804.4</f>
        <v/>
      </c>
      <c r="R40" s="349">
        <f>26813.37+804.4</f>
        <v/>
      </c>
      <c r="S40" s="349">
        <f>26813.37+804.4</f>
        <v/>
      </c>
      <c r="T40" s="349">
        <f>26813.37+804.4</f>
        <v/>
      </c>
      <c r="U40" s="349">
        <f>26813.37+804.4</f>
        <v/>
      </c>
      <c r="V40" s="349">
        <f>26813.37+804.4</f>
        <v/>
      </c>
      <c r="W40" s="349">
        <f>26813.37+804.4</f>
        <v/>
      </c>
      <c r="X40" s="349">
        <f>26813.37+804.4</f>
        <v/>
      </c>
      <c r="Y40" s="349">
        <f>26813.37+804.4</f>
        <v/>
      </c>
      <c r="Z40" s="349">
        <f>26813.37+804.4</f>
        <v/>
      </c>
      <c r="AA40" s="349">
        <f>26813.37+804.4</f>
        <v/>
      </c>
      <c r="AB40" s="349">
        <f>26813.37+804.4</f>
        <v/>
      </c>
      <c r="AC40" s="349">
        <f>26813.37+804.4</f>
        <v/>
      </c>
      <c r="AD40" s="349">
        <f>26813.37+804.4</f>
        <v/>
      </c>
      <c r="AE40" s="349">
        <f>26813.37+804.4</f>
        <v/>
      </c>
      <c r="AF40" s="349">
        <f>26813.37+804.4</f>
        <v/>
      </c>
      <c r="AG40" s="349">
        <f>26813.37+804.4</f>
        <v/>
      </c>
      <c r="AH40" s="349">
        <f>26813.37+804.4</f>
        <v/>
      </c>
      <c r="AI40" s="349">
        <f>26813.37+804.4</f>
        <v/>
      </c>
      <c r="AJ40" s="349">
        <f>26813.37+804.4</f>
        <v/>
      </c>
      <c r="AK40" s="349">
        <f>26813.37+804.4</f>
        <v/>
      </c>
      <c r="AL40" s="349">
        <f>26813.37+804.4</f>
        <v/>
      </c>
      <c r="AM40" s="349">
        <f>26813.37+804.4</f>
        <v/>
      </c>
      <c r="AN40" s="349">
        <f>26813.37+804.4</f>
        <v/>
      </c>
      <c r="AO40" s="349">
        <f>26813.37+804.4</f>
        <v/>
      </c>
      <c r="AP40" s="349">
        <f>26813.37+804.4</f>
        <v/>
      </c>
      <c r="AQ40" s="349">
        <f>26813.37+804.4</f>
        <v/>
      </c>
      <c r="AR40" s="349">
        <f>26813.37+804.4</f>
        <v/>
      </c>
      <c r="AS40" s="349">
        <f>26813.37+804.4</f>
        <v/>
      </c>
      <c r="AT40" s="349">
        <f>26813.37+804.4</f>
        <v/>
      </c>
      <c r="AU40" s="349">
        <f>26813.37+804.4</f>
        <v/>
      </c>
      <c r="AV40" s="349">
        <f>26813.37+804.4</f>
        <v/>
      </c>
      <c r="AW40" s="349">
        <f>26813.37+804.4</f>
        <v/>
      </c>
      <c r="AX40" s="349">
        <f>26813.37+804.4</f>
        <v/>
      </c>
      <c r="AY40" s="349">
        <f>26813.37+804.4</f>
        <v/>
      </c>
      <c r="AZ40" s="349">
        <f>26813.37+804.4</f>
        <v/>
      </c>
      <c r="BA40" s="349">
        <f>26813.37+804.4</f>
        <v/>
      </c>
      <c r="BB40" s="349">
        <f>26813.37+804.4</f>
        <v/>
      </c>
      <c r="BC40" s="349">
        <f>26813.37+804.4</f>
        <v/>
      </c>
      <c r="BD40" s="349">
        <f>26813.37+804.4</f>
        <v/>
      </c>
      <c r="BE40" s="349">
        <f>26813.37+804.4</f>
        <v/>
      </c>
      <c r="BF40" s="349">
        <f>26813.37+804.4</f>
        <v/>
      </c>
      <c r="BG40" s="349">
        <f>26813.37+804.4</f>
        <v/>
      </c>
      <c r="BH40" s="349">
        <f>26813.37+804.4</f>
        <v/>
      </c>
      <c r="BI40" s="349">
        <f>26813.37+804.4</f>
        <v/>
      </c>
      <c r="BJ40" s="349">
        <f>26813.37+804.4</f>
        <v/>
      </c>
      <c r="BK40" s="349">
        <f>26813.37+804.4</f>
        <v/>
      </c>
      <c r="BL40" s="349">
        <f>26813.37+804.4</f>
        <v/>
      </c>
      <c r="BM40" s="350">
        <f>SUM(E40:BL40)</f>
        <v/>
      </c>
    </row>
    <row r="41" ht="13.7" customFormat="1" customHeight="1" s="54">
      <c r="A41" s="48">
        <f>A40+1</f>
        <v/>
      </c>
      <c r="B41" s="288" t="inlineStr">
        <is>
          <t>Carla Santana</t>
        </is>
      </c>
      <c r="C41" s="257" t="n"/>
      <c r="D41" s="255" t="n"/>
      <c r="E41" s="349">
        <f>6565.16+787.82</f>
        <v/>
      </c>
      <c r="F41" s="349">
        <f>6565.16+787.82</f>
        <v/>
      </c>
      <c r="G41" s="349">
        <f>6565.16+787.82</f>
        <v/>
      </c>
      <c r="H41" s="349">
        <f>6565.16+787.82</f>
        <v/>
      </c>
      <c r="I41" s="349">
        <f>6565.16+787.82</f>
        <v/>
      </c>
      <c r="J41" s="349">
        <f>6565.16+787.82</f>
        <v/>
      </c>
      <c r="K41" s="349">
        <f>6565.16+787.82</f>
        <v/>
      </c>
      <c r="L41" s="349">
        <f>6565.16+787.82</f>
        <v/>
      </c>
      <c r="M41" s="349">
        <f>6565.16+787.82</f>
        <v/>
      </c>
      <c r="N41" s="349">
        <f>6565.16+787.82</f>
        <v/>
      </c>
      <c r="O41" s="349">
        <f>6565.16+787.82</f>
        <v/>
      </c>
      <c r="P41" s="349">
        <f>6565.16+787.82</f>
        <v/>
      </c>
      <c r="Q41" s="349">
        <f>6565.16+787.82</f>
        <v/>
      </c>
      <c r="R41" s="349">
        <f>6565.16+787.82</f>
        <v/>
      </c>
      <c r="S41" s="349">
        <f>6565.16+787.82</f>
        <v/>
      </c>
      <c r="T41" s="349">
        <f>6565.16+787.82</f>
        <v/>
      </c>
      <c r="U41" s="349">
        <f>6565.16+787.82</f>
        <v/>
      </c>
      <c r="V41" s="349">
        <f>6565.16+787.82</f>
        <v/>
      </c>
      <c r="W41" s="349">
        <f>6565.16+787.82</f>
        <v/>
      </c>
      <c r="X41" s="349">
        <f>6565.16+787.82</f>
        <v/>
      </c>
      <c r="Y41" s="349">
        <f>6565.16+787.82</f>
        <v/>
      </c>
      <c r="Z41" s="349">
        <f>6565.16+787.82</f>
        <v/>
      </c>
      <c r="AA41" s="349">
        <f>6565.16+787.82</f>
        <v/>
      </c>
      <c r="AB41" s="349">
        <f>6565.16+787.82</f>
        <v/>
      </c>
      <c r="AC41" s="349">
        <f>6565.16+787.82</f>
        <v/>
      </c>
      <c r="AD41" s="349">
        <f>6565.16+787.82</f>
        <v/>
      </c>
      <c r="AE41" s="349">
        <f>6565.16+787.82</f>
        <v/>
      </c>
      <c r="AF41" s="349">
        <f>6565.16+787.82</f>
        <v/>
      </c>
      <c r="AG41" s="349">
        <f>6565.16+787.82</f>
        <v/>
      </c>
      <c r="AH41" s="349">
        <f>6565.16+787.82</f>
        <v/>
      </c>
      <c r="AI41" s="349">
        <f>6565.16+787.82</f>
        <v/>
      </c>
      <c r="AJ41" s="349">
        <f>6565.16+787.82</f>
        <v/>
      </c>
      <c r="AK41" s="349">
        <f>6565.16+787.82</f>
        <v/>
      </c>
      <c r="AL41" s="349">
        <f>6565.16+787.82</f>
        <v/>
      </c>
      <c r="AM41" s="349">
        <f>6565.16+787.82</f>
        <v/>
      </c>
      <c r="AN41" s="349">
        <f>6565.16+787.82</f>
        <v/>
      </c>
      <c r="AO41" s="349">
        <f>6565.16+787.82</f>
        <v/>
      </c>
      <c r="AP41" s="349">
        <f>6565.16+787.82</f>
        <v/>
      </c>
      <c r="AQ41" s="349">
        <f>6565.16+787.82</f>
        <v/>
      </c>
      <c r="AR41" s="349">
        <f>6565.16+787.82</f>
        <v/>
      </c>
      <c r="AS41" s="349">
        <f>6565.16+787.82</f>
        <v/>
      </c>
      <c r="AT41" s="349">
        <f>6565.16+787.82</f>
        <v/>
      </c>
      <c r="AU41" s="349">
        <f>6565.16+787.82</f>
        <v/>
      </c>
      <c r="AV41" s="349">
        <f>6565.16+787.82</f>
        <v/>
      </c>
      <c r="AW41" s="349">
        <f>6565.16+787.82</f>
        <v/>
      </c>
      <c r="AX41" s="349">
        <f>6565.16+787.82</f>
        <v/>
      </c>
      <c r="AY41" s="349">
        <f>6565.16+787.82</f>
        <v/>
      </c>
      <c r="AZ41" s="349">
        <f>6565.16+787.82</f>
        <v/>
      </c>
      <c r="BA41" s="349">
        <f>6565.16+787.82</f>
        <v/>
      </c>
      <c r="BB41" s="349">
        <f>6565.16+787.82</f>
        <v/>
      </c>
      <c r="BC41" s="349">
        <f>6565.16+787.82</f>
        <v/>
      </c>
      <c r="BD41" s="349">
        <f>6565.16+787.82</f>
        <v/>
      </c>
      <c r="BE41" s="349">
        <f>6565.16+787.82</f>
        <v/>
      </c>
      <c r="BF41" s="349">
        <f>6565.16+787.82</f>
        <v/>
      </c>
      <c r="BG41" s="349">
        <f>6565.16+787.82</f>
        <v/>
      </c>
      <c r="BH41" s="349">
        <f>6565.16+787.82</f>
        <v/>
      </c>
      <c r="BI41" s="349">
        <f>6565.16+787.82</f>
        <v/>
      </c>
      <c r="BJ41" s="349">
        <f>6565.16+787.82</f>
        <v/>
      </c>
      <c r="BK41" s="349">
        <f>6565.16+787.82</f>
        <v/>
      </c>
      <c r="BL41" s="349">
        <f>6565.16+787.82</f>
        <v/>
      </c>
      <c r="BM41" s="350">
        <f>SUM(E41:BL41)</f>
        <v/>
      </c>
    </row>
    <row r="42" ht="13.7" customFormat="1" customHeight="1" s="54">
      <c r="A42" s="48">
        <f>A41+1</f>
        <v/>
      </c>
      <c r="B42" s="288" t="inlineStr">
        <is>
          <t>Caroline Fagundes</t>
        </is>
      </c>
      <c r="C42" s="257" t="n"/>
      <c r="D42" s="255" t="n"/>
      <c r="E42" s="349">
        <f>5086.62+305.2</f>
        <v/>
      </c>
      <c r="F42" s="349">
        <f>5086.62+305.2</f>
        <v/>
      </c>
      <c r="G42" s="349">
        <f>5086.62+305.2</f>
        <v/>
      </c>
      <c r="H42" s="349">
        <f>5086.62+305.2</f>
        <v/>
      </c>
      <c r="I42" s="349">
        <f>5086.62+305.2</f>
        <v/>
      </c>
      <c r="J42" s="349">
        <f>5086.62+305.2</f>
        <v/>
      </c>
      <c r="K42" s="349">
        <f>5086.62+305.2</f>
        <v/>
      </c>
      <c r="L42" s="349">
        <f>5086.62+305.2</f>
        <v/>
      </c>
      <c r="M42" s="349">
        <f>5086.62+305.2</f>
        <v/>
      </c>
      <c r="N42" s="349">
        <f>5086.62+305.2</f>
        <v/>
      </c>
      <c r="O42" s="349">
        <f>5086.62+305.2</f>
        <v/>
      </c>
      <c r="P42" s="349">
        <f>5086.62+305.2</f>
        <v/>
      </c>
      <c r="Q42" s="349">
        <f>5086.62+305.2</f>
        <v/>
      </c>
      <c r="R42" s="349">
        <f>5086.62+305.2</f>
        <v/>
      </c>
      <c r="S42" s="349">
        <f>5086.62+305.2</f>
        <v/>
      </c>
      <c r="T42" s="349">
        <f>5086.62+305.2</f>
        <v/>
      </c>
      <c r="U42" s="349">
        <f>5086.62+305.2</f>
        <v/>
      </c>
      <c r="V42" s="349">
        <f>5086.62+305.2</f>
        <v/>
      </c>
      <c r="W42" s="349">
        <f>5086.62+305.2</f>
        <v/>
      </c>
      <c r="X42" s="349">
        <f>5086.62+305.2</f>
        <v/>
      </c>
      <c r="Y42" s="349">
        <f>5086.62+305.2</f>
        <v/>
      </c>
      <c r="Z42" s="349">
        <f>5086.62+305.2</f>
        <v/>
      </c>
      <c r="AA42" s="349">
        <f>5086.62+305.2</f>
        <v/>
      </c>
      <c r="AB42" s="349">
        <f>5086.62+305.2</f>
        <v/>
      </c>
      <c r="AC42" s="349">
        <f>5086.62+305.2</f>
        <v/>
      </c>
      <c r="AD42" s="349">
        <f>5086.62+305.2</f>
        <v/>
      </c>
      <c r="AE42" s="349">
        <f>5086.62+305.2</f>
        <v/>
      </c>
      <c r="AF42" s="349">
        <f>5086.62+305.2</f>
        <v/>
      </c>
      <c r="AG42" s="349">
        <f>5086.62+305.2</f>
        <v/>
      </c>
      <c r="AH42" s="349">
        <f>5086.62+305.2</f>
        <v/>
      </c>
      <c r="AI42" s="349">
        <f>5086.62+305.2</f>
        <v/>
      </c>
      <c r="AJ42" s="349">
        <f>5086.62+305.2</f>
        <v/>
      </c>
      <c r="AK42" s="349">
        <f>5086.62+305.2</f>
        <v/>
      </c>
      <c r="AL42" s="349">
        <f>5086.62+305.2</f>
        <v/>
      </c>
      <c r="AM42" s="349">
        <f>5086.62+305.2</f>
        <v/>
      </c>
      <c r="AN42" s="349">
        <f>5086.62+305.2</f>
        <v/>
      </c>
      <c r="AO42" s="349">
        <f>5086.62+305.2</f>
        <v/>
      </c>
      <c r="AP42" s="349">
        <f>5086.62+305.2</f>
        <v/>
      </c>
      <c r="AQ42" s="349">
        <f>5086.62+305.2</f>
        <v/>
      </c>
      <c r="AR42" s="349">
        <f>5086.62+305.2</f>
        <v/>
      </c>
      <c r="AS42" s="349">
        <f>5086.62+305.2</f>
        <v/>
      </c>
      <c r="AT42" s="349">
        <f>5086.62+305.2</f>
        <v/>
      </c>
      <c r="AU42" s="349">
        <f>5086.62+305.2</f>
        <v/>
      </c>
      <c r="AV42" s="349">
        <f>5086.62+305.2</f>
        <v/>
      </c>
      <c r="AW42" s="349">
        <f>5086.62+305.2</f>
        <v/>
      </c>
      <c r="AX42" s="349">
        <f>5086.62+305.2</f>
        <v/>
      </c>
      <c r="AY42" s="349">
        <f>5086.62+305.2</f>
        <v/>
      </c>
      <c r="AZ42" s="349">
        <f>5086.62+305.2</f>
        <v/>
      </c>
      <c r="BA42" s="349">
        <f>5086.62+305.2</f>
        <v/>
      </c>
      <c r="BB42" s="349">
        <f>5086.62+305.2</f>
        <v/>
      </c>
      <c r="BC42" s="349">
        <f>5086.62+305.2</f>
        <v/>
      </c>
      <c r="BD42" s="349">
        <f>5086.62+305.2</f>
        <v/>
      </c>
      <c r="BE42" s="349">
        <f>5086.62+305.2</f>
        <v/>
      </c>
      <c r="BF42" s="349">
        <f>5086.62+305.2</f>
        <v/>
      </c>
      <c r="BG42" s="349">
        <f>5086.62+305.2</f>
        <v/>
      </c>
      <c r="BH42" s="349">
        <f>5086.62+305.2</f>
        <v/>
      </c>
      <c r="BI42" s="349">
        <f>5086.62+305.2</f>
        <v/>
      </c>
      <c r="BJ42" s="349">
        <f>5086.62+305.2</f>
        <v/>
      </c>
      <c r="BK42" s="349">
        <f>5086.62+305.2</f>
        <v/>
      </c>
      <c r="BL42" s="349">
        <f>5086.62+305.2</f>
        <v/>
      </c>
      <c r="BM42" s="350">
        <f>SUM(E42:BL42)</f>
        <v/>
      </c>
    </row>
    <row r="43" ht="13.7" customFormat="1" customHeight="1" s="54">
      <c r="A43" s="48">
        <f>A42+1</f>
        <v/>
      </c>
      <c r="B43" s="288" t="inlineStr">
        <is>
          <t>Daniela Vogel</t>
        </is>
      </c>
      <c r="C43" s="257" t="n"/>
      <c r="D43" s="255" t="n"/>
      <c r="E43" s="349">
        <f>8390.54+1510.3</f>
        <v/>
      </c>
      <c r="F43" s="349">
        <f>8390.54+1510.3</f>
        <v/>
      </c>
      <c r="G43" s="349">
        <f>8390.54+1510.3</f>
        <v/>
      </c>
      <c r="H43" s="349">
        <f>8390.54+1510.3</f>
        <v/>
      </c>
      <c r="I43" s="349">
        <f>8390.54+1510.3</f>
        <v/>
      </c>
      <c r="J43" s="349">
        <f>8390.54+1510.3</f>
        <v/>
      </c>
      <c r="K43" s="349">
        <f>8390.54+1510.3</f>
        <v/>
      </c>
      <c r="L43" s="349">
        <f>8390.54+1510.3</f>
        <v/>
      </c>
      <c r="M43" s="349">
        <f>8390.54+1510.3</f>
        <v/>
      </c>
      <c r="N43" s="349">
        <f>8390.54+1510.3</f>
        <v/>
      </c>
      <c r="O43" s="349">
        <f>8390.54+1510.3</f>
        <v/>
      </c>
      <c r="P43" s="349">
        <f>8390.54+1510.3</f>
        <v/>
      </c>
      <c r="Q43" s="349">
        <f>8390.54+1510.3</f>
        <v/>
      </c>
      <c r="R43" s="349">
        <f>8390.54+1510.3</f>
        <v/>
      </c>
      <c r="S43" s="349">
        <f>8390.54+1510.3</f>
        <v/>
      </c>
      <c r="T43" s="349">
        <f>8390.54+1510.3</f>
        <v/>
      </c>
      <c r="U43" s="349">
        <f>8390.54+1510.3</f>
        <v/>
      </c>
      <c r="V43" s="349">
        <f>8390.54+1510.3</f>
        <v/>
      </c>
      <c r="W43" s="349">
        <f>8390.54+1510.3</f>
        <v/>
      </c>
      <c r="X43" s="349">
        <f>8390.54+1510.3</f>
        <v/>
      </c>
      <c r="Y43" s="349">
        <f>8390.54+1510.3</f>
        <v/>
      </c>
      <c r="Z43" s="349">
        <f>8390.54+1510.3</f>
        <v/>
      </c>
      <c r="AA43" s="349">
        <f>8390.54+1510.3</f>
        <v/>
      </c>
      <c r="AB43" s="349">
        <f>8390.54+1510.3</f>
        <v/>
      </c>
      <c r="AC43" s="349">
        <f>8390.54+1510.3</f>
        <v/>
      </c>
      <c r="AD43" s="349">
        <f>8390.54+1510.3</f>
        <v/>
      </c>
      <c r="AE43" s="349">
        <f>8390.54+1510.3</f>
        <v/>
      </c>
      <c r="AF43" s="349">
        <f>8390.54+1510.3</f>
        <v/>
      </c>
      <c r="AG43" s="349">
        <f>8390.54+1510.3</f>
        <v/>
      </c>
      <c r="AH43" s="349">
        <f>8390.54+1510.3</f>
        <v/>
      </c>
      <c r="AI43" s="349">
        <f>8390.54+1510.3</f>
        <v/>
      </c>
      <c r="AJ43" s="349">
        <f>8390.54+1510.3</f>
        <v/>
      </c>
      <c r="AK43" s="349">
        <f>8390.54+1510.3</f>
        <v/>
      </c>
      <c r="AL43" s="349">
        <f>8390.54+1510.3</f>
        <v/>
      </c>
      <c r="AM43" s="349">
        <f>8390.54+1510.3</f>
        <v/>
      </c>
      <c r="AN43" s="349">
        <f>8390.54+1510.3</f>
        <v/>
      </c>
      <c r="AO43" s="349">
        <f>8390.54+1510.3</f>
        <v/>
      </c>
      <c r="AP43" s="349">
        <f>8390.54+1510.3</f>
        <v/>
      </c>
      <c r="AQ43" s="349">
        <f>8390.54+1510.3</f>
        <v/>
      </c>
      <c r="AR43" s="349">
        <f>8390.54+1510.3</f>
        <v/>
      </c>
      <c r="AS43" s="349">
        <f>8390.54+1510.3</f>
        <v/>
      </c>
      <c r="AT43" s="349">
        <f>8390.54+1510.3</f>
        <v/>
      </c>
      <c r="AU43" s="349">
        <f>8390.54+1510.3</f>
        <v/>
      </c>
      <c r="AV43" s="349">
        <f>8390.54+1510.3</f>
        <v/>
      </c>
      <c r="AW43" s="349">
        <f>8390.54+1510.3</f>
        <v/>
      </c>
      <c r="AX43" s="349">
        <f>8390.54+1510.3</f>
        <v/>
      </c>
      <c r="AY43" s="349">
        <f>8390.54+1510.3</f>
        <v/>
      </c>
      <c r="AZ43" s="349">
        <f>8390.54+1510.3</f>
        <v/>
      </c>
      <c r="BA43" s="349">
        <f>8390.54+1510.3</f>
        <v/>
      </c>
      <c r="BB43" s="349">
        <f>8390.54+1510.3</f>
        <v/>
      </c>
      <c r="BC43" s="349">
        <f>8390.54+1510.3</f>
        <v/>
      </c>
      <c r="BD43" s="349">
        <f>8390.54+1510.3</f>
        <v/>
      </c>
      <c r="BE43" s="349">
        <f>8390.54+1510.3</f>
        <v/>
      </c>
      <c r="BF43" s="349">
        <f>8390.54+1510.3</f>
        <v/>
      </c>
      <c r="BG43" s="349">
        <f>8390.54+1510.3</f>
        <v/>
      </c>
      <c r="BH43" s="349">
        <f>8390.54+1510.3</f>
        <v/>
      </c>
      <c r="BI43" s="349">
        <f>8390.54+1510.3</f>
        <v/>
      </c>
      <c r="BJ43" s="349">
        <f>8390.54+1510.3</f>
        <v/>
      </c>
      <c r="BK43" s="349">
        <f>8390.54+1510.3</f>
        <v/>
      </c>
      <c r="BL43" s="349">
        <f>8390.54+1510.3</f>
        <v/>
      </c>
      <c r="BM43" s="350">
        <f>SUM(E43:BL43)</f>
        <v/>
      </c>
    </row>
    <row r="44" ht="13.7" customFormat="1" customHeight="1" s="54">
      <c r="A44" s="48">
        <f>A43+1</f>
        <v/>
      </c>
      <c r="B44" s="288" t="inlineStr">
        <is>
          <t>Marciel Manoel dos Santos</t>
        </is>
      </c>
      <c r="C44" s="257" t="n"/>
      <c r="D44" s="255" t="n"/>
      <c r="E44" s="349">
        <f>25242.11+4543.58</f>
        <v/>
      </c>
      <c r="F44" s="349">
        <f>25242.11+4543.58</f>
        <v/>
      </c>
      <c r="G44" s="349">
        <f>25242.11+4543.58</f>
        <v/>
      </c>
      <c r="H44" s="349">
        <f>25242.11+4543.58</f>
        <v/>
      </c>
      <c r="I44" s="349">
        <f>25242.11+4543.58</f>
        <v/>
      </c>
      <c r="J44" s="349">
        <f>25242.11+4543.58</f>
        <v/>
      </c>
      <c r="K44" s="349">
        <f>25242.11+4543.58</f>
        <v/>
      </c>
      <c r="L44" s="349">
        <f>25242.11+4543.58</f>
        <v/>
      </c>
      <c r="M44" s="349">
        <f>25242.11+4543.58</f>
        <v/>
      </c>
      <c r="N44" s="349">
        <f>25242.11+4543.58</f>
        <v/>
      </c>
      <c r="O44" s="349">
        <f>25242.11+4543.58</f>
        <v/>
      </c>
      <c r="P44" s="349">
        <f>25242.11+4543.58</f>
        <v/>
      </c>
      <c r="Q44" s="349">
        <f>25242.11+4543.58</f>
        <v/>
      </c>
      <c r="R44" s="349">
        <f>25242.11+4543.58</f>
        <v/>
      </c>
      <c r="S44" s="349">
        <f>25242.11+4543.58</f>
        <v/>
      </c>
      <c r="T44" s="349">
        <f>25242.11+4543.58</f>
        <v/>
      </c>
      <c r="U44" s="349">
        <f>25242.11+4543.58</f>
        <v/>
      </c>
      <c r="V44" s="349">
        <f>25242.11+4543.58</f>
        <v/>
      </c>
      <c r="W44" s="349">
        <f>25242.11+4543.58</f>
        <v/>
      </c>
      <c r="X44" s="349">
        <f>25242.11+4543.58</f>
        <v/>
      </c>
      <c r="Y44" s="349">
        <f>25242.11+4543.58</f>
        <v/>
      </c>
      <c r="Z44" s="349">
        <f>25242.11+4543.58</f>
        <v/>
      </c>
      <c r="AA44" s="349">
        <f>25242.11+4543.58</f>
        <v/>
      </c>
      <c r="AB44" s="349">
        <f>25242.11+4543.58</f>
        <v/>
      </c>
      <c r="AC44" s="349">
        <f>25242.11+4543.58</f>
        <v/>
      </c>
      <c r="AD44" s="349">
        <f>25242.11+4543.58</f>
        <v/>
      </c>
      <c r="AE44" s="349">
        <f>25242.11+4543.58</f>
        <v/>
      </c>
      <c r="AF44" s="349">
        <f>25242.11+4543.58</f>
        <v/>
      </c>
      <c r="AG44" s="349">
        <f>25242.11+4543.58</f>
        <v/>
      </c>
      <c r="AH44" s="349">
        <f>25242.11+4543.58</f>
        <v/>
      </c>
      <c r="AI44" s="349">
        <f>25242.11+4543.58</f>
        <v/>
      </c>
      <c r="AJ44" s="349">
        <f>25242.11+4543.58</f>
        <v/>
      </c>
      <c r="AK44" s="349">
        <f>25242.11+4543.58</f>
        <v/>
      </c>
      <c r="AL44" s="349">
        <f>25242.11+4543.58</f>
        <v/>
      </c>
      <c r="AM44" s="349">
        <f>25242.11+4543.58</f>
        <v/>
      </c>
      <c r="AN44" s="349">
        <f>25242.11+4543.58</f>
        <v/>
      </c>
      <c r="AO44" s="349">
        <f>25242.11+4543.58</f>
        <v/>
      </c>
      <c r="AP44" s="349">
        <f>25242.11+4543.58</f>
        <v/>
      </c>
      <c r="AQ44" s="349">
        <f>25242.11+4543.58</f>
        <v/>
      </c>
      <c r="AR44" s="349">
        <f>25242.11+4543.58</f>
        <v/>
      </c>
      <c r="AS44" s="349">
        <f>25242.11+4543.58</f>
        <v/>
      </c>
      <c r="AT44" s="349">
        <f>25242.11+4543.58</f>
        <v/>
      </c>
      <c r="AU44" s="349">
        <f>25242.11+4543.58</f>
        <v/>
      </c>
      <c r="AV44" s="349">
        <f>25242.11+4543.58</f>
        <v/>
      </c>
      <c r="AW44" s="349">
        <f>25242.11+4543.58</f>
        <v/>
      </c>
      <c r="AX44" s="349">
        <f>25242.11+4543.58</f>
        <v/>
      </c>
      <c r="AY44" s="349">
        <f>25242.11+4543.58</f>
        <v/>
      </c>
      <c r="AZ44" s="349">
        <f>25242.11+4543.58</f>
        <v/>
      </c>
      <c r="BA44" s="349">
        <f>25242.11+4543.58</f>
        <v/>
      </c>
      <c r="BB44" s="349">
        <f>25242.11+4543.58</f>
        <v/>
      </c>
      <c r="BC44" s="349">
        <f>25242.11+4543.58</f>
        <v/>
      </c>
      <c r="BD44" s="349">
        <f>25242.11+4543.58</f>
        <v/>
      </c>
      <c r="BE44" s="349">
        <f>25242.11+4543.58</f>
        <v/>
      </c>
      <c r="BF44" s="349">
        <f>25242.11+4543.58</f>
        <v/>
      </c>
      <c r="BG44" s="349">
        <f>25242.11+4543.58</f>
        <v/>
      </c>
      <c r="BH44" s="349">
        <f>25242.11+4543.58</f>
        <v/>
      </c>
      <c r="BI44" s="349">
        <f>25242.11+4543.58</f>
        <v/>
      </c>
      <c r="BJ44" s="349">
        <f>25242.11+4543.58</f>
        <v/>
      </c>
      <c r="BK44" s="349">
        <f>25242.11+4543.58</f>
        <v/>
      </c>
      <c r="BL44" s="349">
        <f>25242.11+4543.58</f>
        <v/>
      </c>
      <c r="BM44" s="350">
        <f>SUM(E44:BL44)</f>
        <v/>
      </c>
    </row>
    <row r="45" ht="13.7" customFormat="1" customHeight="1" s="54">
      <c r="A45" s="48">
        <f>A44+1</f>
        <v/>
      </c>
      <c r="B45" s="288" t="inlineStr">
        <is>
          <t>Maurilia Maria Dias</t>
        </is>
      </c>
      <c r="C45" s="257" t="n"/>
      <c r="D45" s="255" t="n"/>
      <c r="E45" s="349">
        <f>1499.36+134.94</f>
        <v/>
      </c>
      <c r="F45" s="349">
        <f>1499.36+134.94</f>
        <v/>
      </c>
      <c r="G45" s="349">
        <f>1499.36+134.94</f>
        <v/>
      </c>
      <c r="H45" s="349">
        <f>1499.36+134.94</f>
        <v/>
      </c>
      <c r="I45" s="349">
        <f>1499.36+134.94</f>
        <v/>
      </c>
      <c r="J45" s="349">
        <f>1499.36+134.94</f>
        <v/>
      </c>
      <c r="K45" s="349">
        <f>1499.36+134.94</f>
        <v/>
      </c>
      <c r="L45" s="349">
        <f>1499.36+134.94</f>
        <v/>
      </c>
      <c r="M45" s="349">
        <f>1499.36+134.94</f>
        <v/>
      </c>
      <c r="N45" s="349">
        <f>1499.36+134.94</f>
        <v/>
      </c>
      <c r="O45" s="349">
        <f>1499.36+134.94</f>
        <v/>
      </c>
      <c r="P45" s="349">
        <f>1499.36+134.94</f>
        <v/>
      </c>
      <c r="Q45" s="349">
        <f>1499.36+134.94</f>
        <v/>
      </c>
      <c r="R45" s="349">
        <f>1499.36+134.94</f>
        <v/>
      </c>
      <c r="S45" s="349">
        <f>1499.36+134.94</f>
        <v/>
      </c>
      <c r="T45" s="349">
        <f>1499.36+134.94</f>
        <v/>
      </c>
      <c r="U45" s="349">
        <f>1499.36+134.94</f>
        <v/>
      </c>
      <c r="V45" s="349">
        <f>1499.36+134.94</f>
        <v/>
      </c>
      <c r="W45" s="349">
        <f>1499.36+134.94</f>
        <v/>
      </c>
      <c r="X45" s="349">
        <f>1499.36+134.94</f>
        <v/>
      </c>
      <c r="Y45" s="349">
        <f>1499.36+134.94</f>
        <v/>
      </c>
      <c r="Z45" s="349">
        <f>1499.36+134.94</f>
        <v/>
      </c>
      <c r="AA45" s="349">
        <f>1499.36+134.94</f>
        <v/>
      </c>
      <c r="AB45" s="349">
        <f>1499.36+134.94</f>
        <v/>
      </c>
      <c r="AC45" s="349">
        <f>1499.36+134.94</f>
        <v/>
      </c>
      <c r="AD45" s="349">
        <f>1499.36+134.94</f>
        <v/>
      </c>
      <c r="AE45" s="349">
        <f>1499.36+134.94</f>
        <v/>
      </c>
      <c r="AF45" s="349">
        <f>1499.36+134.94</f>
        <v/>
      </c>
      <c r="AG45" s="349">
        <f>1499.36+134.94</f>
        <v/>
      </c>
      <c r="AH45" s="349">
        <f>1499.36+134.94</f>
        <v/>
      </c>
      <c r="AI45" s="349">
        <f>1499.36+134.94</f>
        <v/>
      </c>
      <c r="AJ45" s="349">
        <f>1499.36+134.94</f>
        <v/>
      </c>
      <c r="AK45" s="349">
        <f>1499.36+134.94</f>
        <v/>
      </c>
      <c r="AL45" s="349">
        <f>1499.36+134.94</f>
        <v/>
      </c>
      <c r="AM45" s="349">
        <f>1499.36+134.94</f>
        <v/>
      </c>
      <c r="AN45" s="349">
        <f>1499.36+134.94</f>
        <v/>
      </c>
      <c r="AO45" s="349">
        <f>1499.36+134.94</f>
        <v/>
      </c>
      <c r="AP45" s="349">
        <f>1499.36+134.94</f>
        <v/>
      </c>
      <c r="AQ45" s="349">
        <f>1499.36+134.94</f>
        <v/>
      </c>
      <c r="AR45" s="349">
        <f>1499.36+134.94</f>
        <v/>
      </c>
      <c r="AS45" s="349">
        <f>1499.36+134.94</f>
        <v/>
      </c>
      <c r="AT45" s="349">
        <f>1499.36+134.94</f>
        <v/>
      </c>
      <c r="AU45" s="349">
        <f>1499.36+134.94</f>
        <v/>
      </c>
      <c r="AV45" s="349">
        <f>1499.36+134.94</f>
        <v/>
      </c>
      <c r="AW45" s="349">
        <f>1499.36+134.94</f>
        <v/>
      </c>
      <c r="AX45" s="349">
        <f>1499.36+134.94</f>
        <v/>
      </c>
      <c r="AY45" s="349">
        <f>1499.36+134.94</f>
        <v/>
      </c>
      <c r="AZ45" s="349">
        <f>1499.36+134.94</f>
        <v/>
      </c>
      <c r="BA45" s="349">
        <f>1499.36+134.94</f>
        <v/>
      </c>
      <c r="BB45" s="349">
        <f>1499.36+134.94</f>
        <v/>
      </c>
      <c r="BC45" s="349">
        <f>1499.36+134.94</f>
        <v/>
      </c>
      <c r="BD45" s="349">
        <f>1499.36+134.94</f>
        <v/>
      </c>
      <c r="BE45" s="349">
        <f>1499.36+134.94</f>
        <v/>
      </c>
      <c r="BF45" s="349">
        <f>1499.36+134.94</f>
        <v/>
      </c>
      <c r="BG45" s="349">
        <f>1499.36+134.94</f>
        <v/>
      </c>
      <c r="BH45" s="349">
        <f>1499.36+134.94</f>
        <v/>
      </c>
      <c r="BI45" s="349">
        <f>1499.36+134.94</f>
        <v/>
      </c>
      <c r="BJ45" s="349">
        <f>1499.36+134.94</f>
        <v/>
      </c>
      <c r="BK45" s="349">
        <f>1499.36+134.94</f>
        <v/>
      </c>
      <c r="BL45" s="349">
        <f>1499.36+134.94</f>
        <v/>
      </c>
      <c r="BM45" s="350">
        <f>SUM(E45:BL45)</f>
        <v/>
      </c>
    </row>
    <row r="46" ht="13.7" customFormat="1" customHeight="1" s="54">
      <c r="A46" s="48">
        <f>A45+1</f>
        <v/>
      </c>
      <c r="B46" s="290" t="inlineStr">
        <is>
          <t>Claudio de Marafigo</t>
        </is>
      </c>
      <c r="C46" s="257" t="n"/>
      <c r="D46" s="255" t="n"/>
      <c r="E46" s="349">
        <f>4414.43+662.16</f>
        <v/>
      </c>
      <c r="F46" s="349">
        <f>4414.43+662.16</f>
        <v/>
      </c>
      <c r="G46" s="349">
        <f>4414.43+662.16</f>
        <v/>
      </c>
      <c r="H46" s="349">
        <f>4414.43+662.16</f>
        <v/>
      </c>
      <c r="I46" s="349">
        <f>4414.43+662.16</f>
        <v/>
      </c>
      <c r="J46" s="349">
        <f>4414.43+662.16</f>
        <v/>
      </c>
      <c r="K46" s="349">
        <f>4414.43+662.16</f>
        <v/>
      </c>
      <c r="L46" s="349">
        <f>4414.43+662.16</f>
        <v/>
      </c>
      <c r="M46" s="349">
        <f>4414.43+662.16</f>
        <v/>
      </c>
      <c r="N46" s="349">
        <f>4414.43+662.16</f>
        <v/>
      </c>
      <c r="O46" s="349">
        <f>4414.43+662.16</f>
        <v/>
      </c>
      <c r="P46" s="349">
        <f>4414.43+662.16</f>
        <v/>
      </c>
      <c r="Q46" s="349">
        <f>4414.43+662.16</f>
        <v/>
      </c>
      <c r="R46" s="349">
        <f>4414.43+662.16</f>
        <v/>
      </c>
      <c r="S46" s="349">
        <f>4414.43+662.16</f>
        <v/>
      </c>
      <c r="T46" s="349">
        <f>4414.43+662.16</f>
        <v/>
      </c>
      <c r="U46" s="349">
        <f>4414.43+662.16</f>
        <v/>
      </c>
      <c r="V46" s="349">
        <f>4414.43+662.16</f>
        <v/>
      </c>
      <c r="W46" s="349">
        <f>4414.43+662.16</f>
        <v/>
      </c>
      <c r="X46" s="349">
        <f>4414.43+662.16</f>
        <v/>
      </c>
      <c r="Y46" s="349">
        <f>4414.43+662.16</f>
        <v/>
      </c>
      <c r="Z46" s="349">
        <f>4414.43+662.16</f>
        <v/>
      </c>
      <c r="AA46" s="349">
        <f>4414.43+662.16</f>
        <v/>
      </c>
      <c r="AB46" s="349">
        <f>4414.43+662.16</f>
        <v/>
      </c>
      <c r="AC46" s="349">
        <f>4414.43+662.16</f>
        <v/>
      </c>
      <c r="AD46" s="349">
        <f>4414.43+662.16</f>
        <v/>
      </c>
      <c r="AE46" s="349">
        <f>4414.43+662.16</f>
        <v/>
      </c>
      <c r="AF46" s="349">
        <f>4414.43+662.16</f>
        <v/>
      </c>
      <c r="AG46" s="349">
        <f>4414.43+662.16</f>
        <v/>
      </c>
      <c r="AH46" s="349">
        <f>4414.43+662.16</f>
        <v/>
      </c>
      <c r="AI46" s="349">
        <f>4414.43+662.16</f>
        <v/>
      </c>
      <c r="AJ46" s="349">
        <f>4414.43+662.16</f>
        <v/>
      </c>
      <c r="AK46" s="349">
        <f>4414.43+662.16</f>
        <v/>
      </c>
      <c r="AL46" s="349">
        <f>4414.43+662.16</f>
        <v/>
      </c>
      <c r="AM46" s="349">
        <f>4414.43+662.16</f>
        <v/>
      </c>
      <c r="AN46" s="349">
        <f>4414.43+662.16</f>
        <v/>
      </c>
      <c r="AO46" s="349">
        <f>4414.43+662.16</f>
        <v/>
      </c>
      <c r="AP46" s="349">
        <f>4414.43+662.16</f>
        <v/>
      </c>
      <c r="AQ46" s="349">
        <f>4414.43+662.16</f>
        <v/>
      </c>
      <c r="AR46" s="349">
        <f>4414.43+662.16</f>
        <v/>
      </c>
      <c r="AS46" s="349">
        <f>4414.43+662.16</f>
        <v/>
      </c>
      <c r="AT46" s="349">
        <f>4414.43+662.16</f>
        <v/>
      </c>
      <c r="AU46" s="349">
        <f>4414.43+662.16</f>
        <v/>
      </c>
      <c r="AV46" s="349">
        <f>4414.43+662.16</f>
        <v/>
      </c>
      <c r="AW46" s="349">
        <f>4414.43+662.16</f>
        <v/>
      </c>
      <c r="AX46" s="349">
        <f>4414.43+662.16</f>
        <v/>
      </c>
      <c r="AY46" s="349">
        <f>4414.43+662.16</f>
        <v/>
      </c>
      <c r="AZ46" s="349">
        <f>4414.43+662.16</f>
        <v/>
      </c>
      <c r="BA46" s="349">
        <f>4414.43+662.16</f>
        <v/>
      </c>
      <c r="BB46" s="349">
        <f>4414.43+662.16</f>
        <v/>
      </c>
      <c r="BC46" s="349">
        <f>4414.43+662.16</f>
        <v/>
      </c>
      <c r="BD46" s="349">
        <f>4414.43+662.16</f>
        <v/>
      </c>
      <c r="BE46" s="349">
        <f>4414.43+662.16</f>
        <v/>
      </c>
      <c r="BF46" s="349">
        <f>4414.43+662.16</f>
        <v/>
      </c>
      <c r="BG46" s="349">
        <f>4414.43+662.16</f>
        <v/>
      </c>
      <c r="BH46" s="349">
        <f>4414.43+662.16</f>
        <v/>
      </c>
      <c r="BI46" s="349">
        <f>4414.43+662.16</f>
        <v/>
      </c>
      <c r="BJ46" s="349">
        <f>4414.43+662.16</f>
        <v/>
      </c>
      <c r="BK46" s="349">
        <f>4414.43+662.16</f>
        <v/>
      </c>
      <c r="BL46" s="349">
        <f>4414.43+662.16</f>
        <v/>
      </c>
      <c r="BM46" s="350">
        <f>SUM(E46:BL46)</f>
        <v/>
      </c>
    </row>
    <row r="47" ht="13.7" customFormat="1" customHeight="1" s="54">
      <c r="A47" s="48">
        <f>A46+1</f>
        <v/>
      </c>
      <c r="B47" s="290" t="inlineStr">
        <is>
          <t>Cleber Tomaz</t>
        </is>
      </c>
      <c r="C47" s="257" t="n"/>
      <c r="D47" s="255" t="n"/>
      <c r="E47" s="349">
        <f>5312.97+159.39</f>
        <v/>
      </c>
      <c r="F47" s="349">
        <f>5312.97+159.39</f>
        <v/>
      </c>
      <c r="G47" s="349">
        <f>5312.97+159.39</f>
        <v/>
      </c>
      <c r="H47" s="349">
        <f>5312.97+159.39</f>
        <v/>
      </c>
      <c r="I47" s="349">
        <f>5312.97+159.39</f>
        <v/>
      </c>
      <c r="J47" s="349">
        <f>5312.97+159.39</f>
        <v/>
      </c>
      <c r="K47" s="349">
        <f>5312.97+159.39</f>
        <v/>
      </c>
      <c r="L47" s="349">
        <f>5312.97+159.39</f>
        <v/>
      </c>
      <c r="M47" s="349">
        <f>5312.97+159.39</f>
        <v/>
      </c>
      <c r="N47" s="349">
        <f>5312.97+159.39</f>
        <v/>
      </c>
      <c r="O47" s="349">
        <f>5312.97+159.39</f>
        <v/>
      </c>
      <c r="P47" s="349">
        <f>5312.97+159.39</f>
        <v/>
      </c>
      <c r="Q47" s="349">
        <f>5312.97+159.39</f>
        <v/>
      </c>
      <c r="R47" s="349">
        <f>5312.97+159.39</f>
        <v/>
      </c>
      <c r="S47" s="349">
        <f>5312.97+159.39</f>
        <v/>
      </c>
      <c r="T47" s="349">
        <f>5312.97+159.39</f>
        <v/>
      </c>
      <c r="U47" s="349">
        <f>5312.97+159.39</f>
        <v/>
      </c>
      <c r="V47" s="349">
        <f>5312.97+159.39</f>
        <v/>
      </c>
      <c r="W47" s="349">
        <f>5312.97+159.39</f>
        <v/>
      </c>
      <c r="X47" s="349">
        <f>5312.97+159.39</f>
        <v/>
      </c>
      <c r="Y47" s="349">
        <f>5312.97+159.39</f>
        <v/>
      </c>
      <c r="Z47" s="349">
        <f>5312.97+159.39</f>
        <v/>
      </c>
      <c r="AA47" s="349">
        <f>5312.97+159.39</f>
        <v/>
      </c>
      <c r="AB47" s="349">
        <f>5312.97+159.39</f>
        <v/>
      </c>
      <c r="AC47" s="349">
        <f>5312.97+159.39</f>
        <v/>
      </c>
      <c r="AD47" s="349">
        <f>5312.97+159.39</f>
        <v/>
      </c>
      <c r="AE47" s="349">
        <f>5312.97+159.39</f>
        <v/>
      </c>
      <c r="AF47" s="349">
        <f>5312.97+159.39</f>
        <v/>
      </c>
      <c r="AG47" s="349">
        <f>5312.97+159.39</f>
        <v/>
      </c>
      <c r="AH47" s="349">
        <f>5312.97+159.39</f>
        <v/>
      </c>
      <c r="AI47" s="349">
        <f>5312.97+159.39</f>
        <v/>
      </c>
      <c r="AJ47" s="349">
        <f>5312.97+159.39</f>
        <v/>
      </c>
      <c r="AK47" s="349">
        <f>5312.97+159.39</f>
        <v/>
      </c>
      <c r="AL47" s="349">
        <f>5312.97+159.39</f>
        <v/>
      </c>
      <c r="AM47" s="349">
        <f>5312.97+159.39</f>
        <v/>
      </c>
      <c r="AN47" s="349">
        <f>5312.97+159.39</f>
        <v/>
      </c>
      <c r="AO47" s="349">
        <f>5312.97+159.39</f>
        <v/>
      </c>
      <c r="AP47" s="349">
        <f>5312.97+159.39</f>
        <v/>
      </c>
      <c r="AQ47" s="349">
        <f>5312.97+159.39</f>
        <v/>
      </c>
      <c r="AR47" s="349">
        <f>5312.97+159.39</f>
        <v/>
      </c>
      <c r="AS47" s="349">
        <f>5312.97+159.39</f>
        <v/>
      </c>
      <c r="AT47" s="349">
        <f>5312.97+159.39</f>
        <v/>
      </c>
      <c r="AU47" s="349">
        <f>5312.97+159.39</f>
        <v/>
      </c>
      <c r="AV47" s="349">
        <f>5312.97+159.39</f>
        <v/>
      </c>
      <c r="AW47" s="349">
        <f>5312.97+159.39</f>
        <v/>
      </c>
      <c r="AX47" s="349">
        <f>5312.97+159.39</f>
        <v/>
      </c>
      <c r="AY47" s="349">
        <f>5312.97+159.39</f>
        <v/>
      </c>
      <c r="AZ47" s="349">
        <f>5312.97+159.39</f>
        <v/>
      </c>
      <c r="BA47" s="349">
        <f>5312.97+159.39</f>
        <v/>
      </c>
      <c r="BB47" s="349">
        <f>5312.97+159.39</f>
        <v/>
      </c>
      <c r="BC47" s="349">
        <f>5312.97+159.39</f>
        <v/>
      </c>
      <c r="BD47" s="349">
        <f>5312.97+159.39</f>
        <v/>
      </c>
      <c r="BE47" s="349">
        <f>5312.97+159.39</f>
        <v/>
      </c>
      <c r="BF47" s="349">
        <f>5312.97+159.39</f>
        <v/>
      </c>
      <c r="BG47" s="349">
        <f>5312.97+159.39</f>
        <v/>
      </c>
      <c r="BH47" s="349">
        <f>5312.97+159.39</f>
        <v/>
      </c>
      <c r="BI47" s="349">
        <f>5312.97+159.39</f>
        <v/>
      </c>
      <c r="BJ47" s="349">
        <f>5312.97+159.39</f>
        <v/>
      </c>
      <c r="BK47" s="349">
        <f>5312.97+159.39</f>
        <v/>
      </c>
      <c r="BL47" s="349">
        <f>5312.97+159.39</f>
        <v/>
      </c>
      <c r="BM47" s="350">
        <f>SUM(E47:BL47)</f>
        <v/>
      </c>
    </row>
    <row r="48" ht="13.7" customFormat="1" customHeight="1" s="54">
      <c r="A48" s="48">
        <f>A47+1</f>
        <v/>
      </c>
      <c r="B48" s="290" t="inlineStr">
        <is>
          <t>Eduardo Felipe Duarte Schmidt Hebbel</t>
        </is>
      </c>
      <c r="C48" s="257" t="n"/>
      <c r="D48" s="255" t="n"/>
      <c r="E48" s="349">
        <f>5278.53+158.36</f>
        <v/>
      </c>
      <c r="F48" s="349">
        <f>5278.53+158.36</f>
        <v/>
      </c>
      <c r="G48" s="349">
        <f>5278.53+158.36</f>
        <v/>
      </c>
      <c r="H48" s="349">
        <f>5278.53+158.36</f>
        <v/>
      </c>
      <c r="I48" s="349">
        <f>5278.53+158.36</f>
        <v/>
      </c>
      <c r="J48" s="349">
        <f>5278.53+158.36</f>
        <v/>
      </c>
      <c r="K48" s="349">
        <f>5278.53+158.36</f>
        <v/>
      </c>
      <c r="L48" s="349">
        <f>5278.53+158.36</f>
        <v/>
      </c>
      <c r="M48" s="349">
        <f>5278.53+158.36</f>
        <v/>
      </c>
      <c r="N48" s="349">
        <f>5278.53+158.36</f>
        <v/>
      </c>
      <c r="O48" s="349">
        <f>5278.53+158.36</f>
        <v/>
      </c>
      <c r="P48" s="349">
        <f>5278.53+158.36</f>
        <v/>
      </c>
      <c r="Q48" s="349">
        <f>5278.53+158.36</f>
        <v/>
      </c>
      <c r="R48" s="349">
        <f>5278.53+158.36</f>
        <v/>
      </c>
      <c r="S48" s="349">
        <f>5278.53+158.36</f>
        <v/>
      </c>
      <c r="T48" s="349">
        <f>5278.53+158.36</f>
        <v/>
      </c>
      <c r="U48" s="349">
        <f>5278.53+158.36</f>
        <v/>
      </c>
      <c r="V48" s="349">
        <f>5278.53+158.36</f>
        <v/>
      </c>
      <c r="W48" s="349">
        <f>5278.53+158.36</f>
        <v/>
      </c>
      <c r="X48" s="349">
        <f>5278.53+158.36</f>
        <v/>
      </c>
      <c r="Y48" s="349">
        <f>5278.53+158.36</f>
        <v/>
      </c>
      <c r="Z48" s="349">
        <f>5278.53+158.36</f>
        <v/>
      </c>
      <c r="AA48" s="349">
        <f>5278.53+158.36</f>
        <v/>
      </c>
      <c r="AB48" s="349">
        <f>5278.53+158.36</f>
        <v/>
      </c>
      <c r="AC48" s="349">
        <f>5278.53+158.36</f>
        <v/>
      </c>
      <c r="AD48" s="349">
        <f>5278.53+158.36</f>
        <v/>
      </c>
      <c r="AE48" s="349">
        <f>5278.53+158.36</f>
        <v/>
      </c>
      <c r="AF48" s="349">
        <f>5278.53+158.36</f>
        <v/>
      </c>
      <c r="AG48" s="349">
        <f>5278.53+158.36</f>
        <v/>
      </c>
      <c r="AH48" s="349">
        <f>5278.53+158.36</f>
        <v/>
      </c>
      <c r="AI48" s="349">
        <f>5278.53+158.36</f>
        <v/>
      </c>
      <c r="AJ48" s="349">
        <f>5278.53+158.36</f>
        <v/>
      </c>
      <c r="AK48" s="349">
        <f>5278.53+158.36</f>
        <v/>
      </c>
      <c r="AL48" s="349">
        <f>5278.53+158.36</f>
        <v/>
      </c>
      <c r="AM48" s="349">
        <f>5278.53+158.36</f>
        <v/>
      </c>
      <c r="AN48" s="349">
        <f>5278.53+158.36</f>
        <v/>
      </c>
      <c r="AO48" s="349">
        <f>5278.53+158.36</f>
        <v/>
      </c>
      <c r="AP48" s="349">
        <f>5278.53+158.36</f>
        <v/>
      </c>
      <c r="AQ48" s="349">
        <f>5278.53+158.36</f>
        <v/>
      </c>
      <c r="AR48" s="349">
        <f>5278.53+158.36</f>
        <v/>
      </c>
      <c r="AS48" s="349">
        <f>5278.53+158.36</f>
        <v/>
      </c>
      <c r="AT48" s="349">
        <f>5278.53+158.36</f>
        <v/>
      </c>
      <c r="AU48" s="349">
        <f>5278.53+158.36</f>
        <v/>
      </c>
      <c r="AV48" s="349">
        <f>5278.53+158.36</f>
        <v/>
      </c>
      <c r="AW48" s="349">
        <f>5278.53+158.36</f>
        <v/>
      </c>
      <c r="AX48" s="349">
        <f>5278.53+158.36</f>
        <v/>
      </c>
      <c r="AY48" s="349">
        <f>5278.53+158.36</f>
        <v/>
      </c>
      <c r="AZ48" s="349">
        <f>5278.53+158.36</f>
        <v/>
      </c>
      <c r="BA48" s="349">
        <f>5278.53+158.36</f>
        <v/>
      </c>
      <c r="BB48" s="349">
        <f>5278.53+158.36</f>
        <v/>
      </c>
      <c r="BC48" s="349">
        <f>5278.53+158.36</f>
        <v/>
      </c>
      <c r="BD48" s="349">
        <f>5278.53+158.36</f>
        <v/>
      </c>
      <c r="BE48" s="349">
        <f>5278.53+158.36</f>
        <v/>
      </c>
      <c r="BF48" s="349">
        <f>5278.53+158.36</f>
        <v/>
      </c>
      <c r="BG48" s="349">
        <f>5278.53+158.36</f>
        <v/>
      </c>
      <c r="BH48" s="349">
        <f>5278.53+158.36</f>
        <v/>
      </c>
      <c r="BI48" s="349">
        <f>5278.53+158.36</f>
        <v/>
      </c>
      <c r="BJ48" s="349">
        <f>5278.53+158.36</f>
        <v/>
      </c>
      <c r="BK48" s="349">
        <f>5278.53+158.36</f>
        <v/>
      </c>
      <c r="BL48" s="349">
        <f>5278.53+158.36</f>
        <v/>
      </c>
      <c r="BM48" s="350">
        <f>SUM(E48:BL48)</f>
        <v/>
      </c>
    </row>
    <row r="49" ht="13.7" customFormat="1" customHeight="1" s="54">
      <c r="A49" s="48">
        <f>A48+1</f>
        <v/>
      </c>
      <c r="B49" s="290" t="inlineStr">
        <is>
          <t>Gustavo Henrique Buch</t>
        </is>
      </c>
      <c r="C49" s="257" t="n"/>
      <c r="D49" s="255" t="n"/>
      <c r="E49" s="349">
        <f>10944.23+656.65</f>
        <v/>
      </c>
      <c r="F49" s="349">
        <f>10944.23+656.65</f>
        <v/>
      </c>
      <c r="G49" s="349">
        <f>10944.23+656.65</f>
        <v/>
      </c>
      <c r="H49" s="349">
        <f>10944.23+656.65</f>
        <v/>
      </c>
      <c r="I49" s="349">
        <f>10944.23+656.65</f>
        <v/>
      </c>
      <c r="J49" s="349">
        <f>10944.23+656.65</f>
        <v/>
      </c>
      <c r="K49" s="349">
        <f>10944.23+656.65</f>
        <v/>
      </c>
      <c r="L49" s="349">
        <f>10944.23+656.65</f>
        <v/>
      </c>
      <c r="M49" s="349">
        <f>10944.23+656.65</f>
        <v/>
      </c>
      <c r="N49" s="349">
        <f>10944.23+656.65</f>
        <v/>
      </c>
      <c r="O49" s="349">
        <f>10944.23+656.65</f>
        <v/>
      </c>
      <c r="P49" s="349">
        <f>10944.23+656.65</f>
        <v/>
      </c>
      <c r="Q49" s="349">
        <f>10944.23+656.65</f>
        <v/>
      </c>
      <c r="R49" s="349">
        <f>10944.23+656.65</f>
        <v/>
      </c>
      <c r="S49" s="349">
        <f>10944.23+656.65</f>
        <v/>
      </c>
      <c r="T49" s="349">
        <f>10944.23+656.65</f>
        <v/>
      </c>
      <c r="U49" s="349">
        <f>10944.23+656.65</f>
        <v/>
      </c>
      <c r="V49" s="349">
        <f>10944.23+656.65</f>
        <v/>
      </c>
      <c r="W49" s="349">
        <f>10944.23+656.65</f>
        <v/>
      </c>
      <c r="X49" s="349">
        <f>10944.23+656.65</f>
        <v/>
      </c>
      <c r="Y49" s="349">
        <f>10944.23+656.65</f>
        <v/>
      </c>
      <c r="Z49" s="349">
        <f>10944.23+656.65</f>
        <v/>
      </c>
      <c r="AA49" s="349">
        <f>10944.23+656.65</f>
        <v/>
      </c>
      <c r="AB49" s="349">
        <f>10944.23+656.65</f>
        <v/>
      </c>
      <c r="AC49" s="349">
        <f>10944.23+656.65</f>
        <v/>
      </c>
      <c r="AD49" s="349">
        <f>10944.23+656.65</f>
        <v/>
      </c>
      <c r="AE49" s="349">
        <f>10944.23+656.65</f>
        <v/>
      </c>
      <c r="AF49" s="349">
        <f>10944.23+656.65</f>
        <v/>
      </c>
      <c r="AG49" s="349">
        <f>10944.23+656.65</f>
        <v/>
      </c>
      <c r="AH49" s="349">
        <f>10944.23+656.65</f>
        <v/>
      </c>
      <c r="AI49" s="349">
        <f>10944.23+656.65</f>
        <v/>
      </c>
      <c r="AJ49" s="349">
        <f>10944.23+656.65</f>
        <v/>
      </c>
      <c r="AK49" s="349">
        <f>10944.23+656.65</f>
        <v/>
      </c>
      <c r="AL49" s="349">
        <f>10944.23+656.65</f>
        <v/>
      </c>
      <c r="AM49" s="349">
        <f>10944.23+656.65</f>
        <v/>
      </c>
      <c r="AN49" s="349">
        <f>10944.23+656.65</f>
        <v/>
      </c>
      <c r="AO49" s="349">
        <f>10944.23+656.65</f>
        <v/>
      </c>
      <c r="AP49" s="349">
        <f>10944.23+656.65</f>
        <v/>
      </c>
      <c r="AQ49" s="349">
        <f>10944.23+656.65</f>
        <v/>
      </c>
      <c r="AR49" s="349">
        <f>10944.23+656.65</f>
        <v/>
      </c>
      <c r="AS49" s="349">
        <f>10944.23+656.65</f>
        <v/>
      </c>
      <c r="AT49" s="349">
        <f>10944.23+656.65</f>
        <v/>
      </c>
      <c r="AU49" s="349">
        <f>10944.23+656.65</f>
        <v/>
      </c>
      <c r="AV49" s="349">
        <f>10944.23+656.65</f>
        <v/>
      </c>
      <c r="AW49" s="349">
        <f>10944.23+656.65</f>
        <v/>
      </c>
      <c r="AX49" s="349">
        <f>10944.23+656.65</f>
        <v/>
      </c>
      <c r="AY49" s="349">
        <f>10944.23+656.65</f>
        <v/>
      </c>
      <c r="AZ49" s="349">
        <f>10944.23+656.65</f>
        <v/>
      </c>
      <c r="BA49" s="349">
        <f>10944.23+656.65</f>
        <v/>
      </c>
      <c r="BB49" s="349">
        <f>10944.23+656.65</f>
        <v/>
      </c>
      <c r="BC49" s="349">
        <f>10944.23+656.65</f>
        <v/>
      </c>
      <c r="BD49" s="349">
        <f>10944.23+656.65</f>
        <v/>
      </c>
      <c r="BE49" s="349">
        <f>10944.23+656.65</f>
        <v/>
      </c>
      <c r="BF49" s="349">
        <f>10944.23+656.65</f>
        <v/>
      </c>
      <c r="BG49" s="349">
        <f>10944.23+656.65</f>
        <v/>
      </c>
      <c r="BH49" s="349">
        <f>10944.23+656.65</f>
        <v/>
      </c>
      <c r="BI49" s="349">
        <f>10944.23+656.65</f>
        <v/>
      </c>
      <c r="BJ49" s="349">
        <f>10944.23+656.65</f>
        <v/>
      </c>
      <c r="BK49" s="349">
        <f>10944.23+656.65</f>
        <v/>
      </c>
      <c r="BL49" s="349">
        <f>10944.23+656.65</f>
        <v/>
      </c>
      <c r="BM49" s="350">
        <f>SUM(E49:BL49)</f>
        <v/>
      </c>
    </row>
    <row r="50" ht="13.7" customFormat="1" customHeight="1" s="54">
      <c r="A50" s="48">
        <f>A49+1</f>
        <v/>
      </c>
      <c r="B50" s="290" t="inlineStr">
        <is>
          <t>Jardel Ferreira</t>
        </is>
      </c>
      <c r="C50" s="257" t="n"/>
      <c r="D50" s="255" t="n"/>
      <c r="E50" s="349">
        <f>5278.53+158.36</f>
        <v/>
      </c>
      <c r="F50" s="349">
        <f>5278.53+158.36</f>
        <v/>
      </c>
      <c r="G50" s="349">
        <f>5278.53+158.36</f>
        <v/>
      </c>
      <c r="H50" s="349">
        <f>5278.53+158.36</f>
        <v/>
      </c>
      <c r="I50" s="349">
        <f>5278.53+158.36</f>
        <v/>
      </c>
      <c r="J50" s="349">
        <f>5278.53+158.36</f>
        <v/>
      </c>
      <c r="K50" s="349">
        <f>5278.53+158.36</f>
        <v/>
      </c>
      <c r="L50" s="349">
        <f>5278.53+158.36</f>
        <v/>
      </c>
      <c r="M50" s="349">
        <f>5278.53+158.36</f>
        <v/>
      </c>
      <c r="N50" s="349">
        <f>5278.53+158.36</f>
        <v/>
      </c>
      <c r="O50" s="349">
        <f>5278.53+158.36</f>
        <v/>
      </c>
      <c r="P50" s="349">
        <f>5278.53+158.36</f>
        <v/>
      </c>
      <c r="Q50" s="349">
        <f>5278.53+158.36</f>
        <v/>
      </c>
      <c r="R50" s="349">
        <f>5278.53+158.36</f>
        <v/>
      </c>
      <c r="S50" s="349">
        <f>5278.53+158.36</f>
        <v/>
      </c>
      <c r="T50" s="349">
        <f>5278.53+158.36</f>
        <v/>
      </c>
      <c r="U50" s="349">
        <f>5278.53+158.36</f>
        <v/>
      </c>
      <c r="V50" s="349">
        <f>5278.53+158.36</f>
        <v/>
      </c>
      <c r="W50" s="349">
        <f>5278.53+158.36</f>
        <v/>
      </c>
      <c r="X50" s="349">
        <f>5278.53+158.36</f>
        <v/>
      </c>
      <c r="Y50" s="349">
        <f>5278.53+158.36</f>
        <v/>
      </c>
      <c r="Z50" s="349">
        <f>5278.53+158.36</f>
        <v/>
      </c>
      <c r="AA50" s="349">
        <f>5278.53+158.36</f>
        <v/>
      </c>
      <c r="AB50" s="349">
        <f>5278.53+158.36</f>
        <v/>
      </c>
      <c r="AC50" s="349">
        <f>5278.53+158.36</f>
        <v/>
      </c>
      <c r="AD50" s="349">
        <f>5278.53+158.36</f>
        <v/>
      </c>
      <c r="AE50" s="349">
        <f>5278.53+158.36</f>
        <v/>
      </c>
      <c r="AF50" s="349">
        <f>5278.53+158.36</f>
        <v/>
      </c>
      <c r="AG50" s="349">
        <f>5278.53+158.36</f>
        <v/>
      </c>
      <c r="AH50" s="349">
        <f>5278.53+158.36</f>
        <v/>
      </c>
      <c r="AI50" s="349">
        <f>5278.53+158.36</f>
        <v/>
      </c>
      <c r="AJ50" s="349">
        <f>5278.53+158.36</f>
        <v/>
      </c>
      <c r="AK50" s="349">
        <f>5278.53+158.36</f>
        <v/>
      </c>
      <c r="AL50" s="349">
        <f>5278.53+158.36</f>
        <v/>
      </c>
      <c r="AM50" s="349">
        <f>5278.53+158.36</f>
        <v/>
      </c>
      <c r="AN50" s="349">
        <f>5278.53+158.36</f>
        <v/>
      </c>
      <c r="AO50" s="349">
        <f>5278.53+158.36</f>
        <v/>
      </c>
      <c r="AP50" s="349">
        <f>5278.53+158.36</f>
        <v/>
      </c>
      <c r="AQ50" s="349">
        <f>5278.53+158.36</f>
        <v/>
      </c>
      <c r="AR50" s="349">
        <f>5278.53+158.36</f>
        <v/>
      </c>
      <c r="AS50" s="349">
        <f>5278.53+158.36</f>
        <v/>
      </c>
      <c r="AT50" s="349">
        <f>5278.53+158.36</f>
        <v/>
      </c>
      <c r="AU50" s="349">
        <f>5278.53+158.36</f>
        <v/>
      </c>
      <c r="AV50" s="349">
        <f>5278.53+158.36</f>
        <v/>
      </c>
      <c r="AW50" s="349">
        <f>5278.53+158.36</f>
        <v/>
      </c>
      <c r="AX50" s="349">
        <f>5278.53+158.36</f>
        <v/>
      </c>
      <c r="AY50" s="349">
        <f>5278.53+158.36</f>
        <v/>
      </c>
      <c r="AZ50" s="349">
        <f>5278.53+158.36</f>
        <v/>
      </c>
      <c r="BA50" s="349">
        <f>5278.53+158.36</f>
        <v/>
      </c>
      <c r="BB50" s="349">
        <f>5278.53+158.36</f>
        <v/>
      </c>
      <c r="BC50" s="349">
        <f>5278.53+158.36</f>
        <v/>
      </c>
      <c r="BD50" s="349">
        <f>5278.53+158.36</f>
        <v/>
      </c>
      <c r="BE50" s="349">
        <f>5278.53+158.36</f>
        <v/>
      </c>
      <c r="BF50" s="349">
        <f>5278.53+158.36</f>
        <v/>
      </c>
      <c r="BG50" s="349">
        <f>5278.53+158.36</f>
        <v/>
      </c>
      <c r="BH50" s="349">
        <f>5278.53+158.36</f>
        <v/>
      </c>
      <c r="BI50" s="349">
        <f>5278.53+158.36</f>
        <v/>
      </c>
      <c r="BJ50" s="349">
        <f>5278.53+158.36</f>
        <v/>
      </c>
      <c r="BK50" s="349">
        <f>5278.53+158.36</f>
        <v/>
      </c>
      <c r="BL50" s="349">
        <f>5278.53+158.36</f>
        <v/>
      </c>
      <c r="BM50" s="350">
        <f>SUM(E50:BL50)</f>
        <v/>
      </c>
    </row>
    <row r="51" ht="13.7" customFormat="1" customHeight="1" s="54">
      <c r="A51" s="48">
        <f>A50+1</f>
        <v/>
      </c>
      <c r="B51" s="292" t="inlineStr">
        <is>
          <t>Juan Morallys Lucena Silva</t>
        </is>
      </c>
      <c r="C51" s="257" t="n"/>
      <c r="D51" s="255" t="n"/>
      <c r="E51" s="349">
        <f>4817.79+144.53</f>
        <v/>
      </c>
      <c r="F51" s="349">
        <f>4817.79+144.53</f>
        <v/>
      </c>
      <c r="G51" s="349">
        <f>4817.79+144.53</f>
        <v/>
      </c>
      <c r="H51" s="349">
        <f>4817.79+144.53</f>
        <v/>
      </c>
      <c r="I51" s="349">
        <f>4817.79+144.53</f>
        <v/>
      </c>
      <c r="J51" s="349">
        <f>4817.79+144.53</f>
        <v/>
      </c>
      <c r="K51" s="349">
        <f>4817.79+144.53</f>
        <v/>
      </c>
      <c r="L51" s="349">
        <f>4817.79+144.53</f>
        <v/>
      </c>
      <c r="M51" s="349">
        <f>4817.79+144.53</f>
        <v/>
      </c>
      <c r="N51" s="349">
        <f>4817.79+144.53</f>
        <v/>
      </c>
      <c r="O51" s="349">
        <f>4817.79+144.53</f>
        <v/>
      </c>
      <c r="P51" s="349">
        <f>4817.79+144.53</f>
        <v/>
      </c>
      <c r="Q51" s="349">
        <f>4817.79+144.53</f>
        <v/>
      </c>
      <c r="R51" s="349">
        <f>4817.79+144.53</f>
        <v/>
      </c>
      <c r="S51" s="349">
        <f>4817.79+144.53</f>
        <v/>
      </c>
      <c r="T51" s="349">
        <f>4817.79+144.53</f>
        <v/>
      </c>
      <c r="U51" s="349">
        <f>4817.79+144.53</f>
        <v/>
      </c>
      <c r="V51" s="349">
        <f>4817.79+144.53</f>
        <v/>
      </c>
      <c r="W51" s="349">
        <f>4817.79+144.53</f>
        <v/>
      </c>
      <c r="X51" s="349">
        <f>4817.79+144.53</f>
        <v/>
      </c>
      <c r="Y51" s="349">
        <f>4817.79+144.53</f>
        <v/>
      </c>
      <c r="Z51" s="349">
        <f>4817.79+144.53</f>
        <v/>
      </c>
      <c r="AA51" s="349">
        <f>4817.79+144.53</f>
        <v/>
      </c>
      <c r="AB51" s="349">
        <f>4817.79+144.53</f>
        <v/>
      </c>
      <c r="AC51" s="349">
        <f>4817.79+144.53</f>
        <v/>
      </c>
      <c r="AD51" s="349">
        <f>4817.79+144.53</f>
        <v/>
      </c>
      <c r="AE51" s="349">
        <f>4817.79+144.53</f>
        <v/>
      </c>
      <c r="AF51" s="349">
        <f>4817.79+144.53</f>
        <v/>
      </c>
      <c r="AG51" s="349">
        <f>4817.79+144.53</f>
        <v/>
      </c>
      <c r="AH51" s="349">
        <f>4817.79+144.53</f>
        <v/>
      </c>
      <c r="AI51" s="349">
        <f>4817.79+144.53</f>
        <v/>
      </c>
      <c r="AJ51" s="349">
        <f>4817.79+144.53</f>
        <v/>
      </c>
      <c r="AK51" s="349">
        <f>4817.79+144.53</f>
        <v/>
      </c>
      <c r="AL51" s="349">
        <f>4817.79+144.53</f>
        <v/>
      </c>
      <c r="AM51" s="349">
        <f>4817.79+144.53</f>
        <v/>
      </c>
      <c r="AN51" s="349">
        <f>4817.79+144.53</f>
        <v/>
      </c>
      <c r="AO51" s="349">
        <f>4817.79+144.53</f>
        <v/>
      </c>
      <c r="AP51" s="349">
        <f>4817.79+144.53</f>
        <v/>
      </c>
      <c r="AQ51" s="349">
        <f>4817.79+144.53</f>
        <v/>
      </c>
      <c r="AR51" s="349">
        <f>4817.79+144.53</f>
        <v/>
      </c>
      <c r="AS51" s="349">
        <f>4817.79+144.53</f>
        <v/>
      </c>
      <c r="AT51" s="349">
        <f>4817.79+144.53</f>
        <v/>
      </c>
      <c r="AU51" s="349">
        <f>4817.79+144.53</f>
        <v/>
      </c>
      <c r="AV51" s="349">
        <f>4817.79+144.53</f>
        <v/>
      </c>
      <c r="AW51" s="349">
        <f>4817.79+144.53</f>
        <v/>
      </c>
      <c r="AX51" s="349">
        <f>4817.79+144.53</f>
        <v/>
      </c>
      <c r="AY51" s="349">
        <f>4817.79+144.53</f>
        <v/>
      </c>
      <c r="AZ51" s="349">
        <f>4817.79+144.53</f>
        <v/>
      </c>
      <c r="BA51" s="349">
        <f>4817.79+144.53</f>
        <v/>
      </c>
      <c r="BB51" s="349">
        <f>4817.79+144.53</f>
        <v/>
      </c>
      <c r="BC51" s="349">
        <f>4817.79+144.53</f>
        <v/>
      </c>
      <c r="BD51" s="349">
        <f>4817.79+144.53</f>
        <v/>
      </c>
      <c r="BE51" s="349">
        <f>4817.79+144.53</f>
        <v/>
      </c>
      <c r="BF51" s="349">
        <f>4817.79+144.53</f>
        <v/>
      </c>
      <c r="BG51" s="349">
        <f>4817.79+144.53</f>
        <v/>
      </c>
      <c r="BH51" s="349">
        <f>4817.79+144.53</f>
        <v/>
      </c>
      <c r="BI51" s="349">
        <f>4817.79+144.53</f>
        <v/>
      </c>
      <c r="BJ51" s="349">
        <f>4817.79+144.53</f>
        <v/>
      </c>
      <c r="BK51" s="349">
        <f>4817.79+144.53</f>
        <v/>
      </c>
      <c r="BL51" s="349">
        <f>4817.79+144.53</f>
        <v/>
      </c>
      <c r="BM51" s="350">
        <f>SUM(E51:BL51)</f>
        <v/>
      </c>
    </row>
    <row r="52" ht="13.7" customFormat="1" customHeight="1" s="54">
      <c r="A52" s="48">
        <f>A51+1</f>
        <v/>
      </c>
      <c r="B52" s="292" t="inlineStr">
        <is>
          <t>Luiza de Oliveira Santos</t>
        </is>
      </c>
      <c r="C52" s="257" t="n"/>
      <c r="D52" s="255" t="n"/>
      <c r="E52" s="349" t="n">
        <v>4377.69</v>
      </c>
      <c r="F52" s="349" t="n">
        <v>4378.69</v>
      </c>
      <c r="G52" s="349" t="n">
        <v>4379.69</v>
      </c>
      <c r="H52" s="349" t="n">
        <v>4380.69</v>
      </c>
      <c r="I52" s="349" t="n">
        <v>4381.69</v>
      </c>
      <c r="J52" s="349" t="n">
        <v>4382.69</v>
      </c>
      <c r="K52" s="349" t="n">
        <v>4383.69</v>
      </c>
      <c r="L52" s="349" t="n">
        <v>4384.69</v>
      </c>
      <c r="M52" s="349" t="n">
        <v>4385.69</v>
      </c>
      <c r="N52" s="349" t="n">
        <v>4386.69</v>
      </c>
      <c r="O52" s="349" t="n">
        <v>4387.69</v>
      </c>
      <c r="P52" s="349" t="n">
        <v>4388.69</v>
      </c>
      <c r="Q52" s="349" t="n">
        <v>4389.69</v>
      </c>
      <c r="R52" s="349" t="n">
        <v>4390.69</v>
      </c>
      <c r="S52" s="349" t="n">
        <v>4391.69</v>
      </c>
      <c r="T52" s="349" t="n">
        <v>4392.69</v>
      </c>
      <c r="U52" s="349" t="n">
        <v>4393.69</v>
      </c>
      <c r="V52" s="349" t="n">
        <v>4394.69</v>
      </c>
      <c r="W52" s="349" t="n">
        <v>4395.69</v>
      </c>
      <c r="X52" s="349" t="n">
        <v>4396.69</v>
      </c>
      <c r="Y52" s="349" t="n">
        <v>4397.69</v>
      </c>
      <c r="Z52" s="349" t="n">
        <v>4398.69</v>
      </c>
      <c r="AA52" s="349" t="n">
        <v>4399.69</v>
      </c>
      <c r="AB52" s="349" t="n">
        <v>4400.69</v>
      </c>
      <c r="AC52" s="349" t="n">
        <v>4401.69</v>
      </c>
      <c r="AD52" s="349" t="n">
        <v>4402.69</v>
      </c>
      <c r="AE52" s="349" t="n">
        <v>4403.69</v>
      </c>
      <c r="AF52" s="349" t="n">
        <v>4404.69</v>
      </c>
      <c r="AG52" s="349" t="n">
        <v>4405.69</v>
      </c>
      <c r="AH52" s="349" t="n">
        <v>4406.69</v>
      </c>
      <c r="AI52" s="349" t="n">
        <v>4407.69</v>
      </c>
      <c r="AJ52" s="349" t="n">
        <v>4408.69</v>
      </c>
      <c r="AK52" s="349" t="n">
        <v>4409.69</v>
      </c>
      <c r="AL52" s="349" t="n">
        <v>4410.69</v>
      </c>
      <c r="AM52" s="349" t="n">
        <v>4411.69</v>
      </c>
      <c r="AN52" s="349" t="n">
        <v>4412.69</v>
      </c>
      <c r="AO52" s="349" t="n">
        <v>4413.69</v>
      </c>
      <c r="AP52" s="349" t="n">
        <v>4414.69</v>
      </c>
      <c r="AQ52" s="349" t="n">
        <v>4415.69</v>
      </c>
      <c r="AR52" s="349" t="n">
        <v>4416.69</v>
      </c>
      <c r="AS52" s="349" t="n">
        <v>4417.69</v>
      </c>
      <c r="AT52" s="349" t="n">
        <v>4418.69</v>
      </c>
      <c r="AU52" s="349" t="n">
        <v>4419.69</v>
      </c>
      <c r="AV52" s="349" t="n">
        <v>4420.69</v>
      </c>
      <c r="AW52" s="349" t="n">
        <v>4421.69</v>
      </c>
      <c r="AX52" s="349" t="n">
        <v>4422.69</v>
      </c>
      <c r="AY52" s="349" t="n">
        <v>4423.69</v>
      </c>
      <c r="AZ52" s="349" t="n">
        <v>4424.69</v>
      </c>
      <c r="BA52" s="349" t="n">
        <v>4425.69</v>
      </c>
      <c r="BB52" s="349" t="n">
        <v>4426.69</v>
      </c>
      <c r="BC52" s="349" t="n">
        <v>4427.69</v>
      </c>
      <c r="BD52" s="349" t="n">
        <v>4428.69</v>
      </c>
      <c r="BE52" s="349" t="n">
        <v>4429.69</v>
      </c>
      <c r="BF52" s="349" t="n">
        <v>4430.69</v>
      </c>
      <c r="BG52" s="349" t="n">
        <v>4431.69</v>
      </c>
      <c r="BH52" s="349" t="n">
        <v>4432.69</v>
      </c>
      <c r="BI52" s="349" t="n">
        <v>4433.69</v>
      </c>
      <c r="BJ52" s="349" t="n">
        <v>4434.69</v>
      </c>
      <c r="BK52" s="349" t="n">
        <v>4435.69</v>
      </c>
      <c r="BL52" s="349" t="n">
        <v>4436.69</v>
      </c>
      <c r="BM52" s="350">
        <f>SUM(E52:BL52)</f>
        <v/>
      </c>
    </row>
    <row r="53" ht="13.7" customFormat="1" customHeight="1" s="54">
      <c r="A53" s="48">
        <f>A52+1</f>
        <v/>
      </c>
      <c r="B53" s="293" t="inlineStr">
        <is>
          <t>João Eugênio Cavallazzi</t>
        </is>
      </c>
      <c r="C53" s="257" t="n"/>
      <c r="D53" s="255" t="n"/>
      <c r="E53" s="349">
        <f>8065.65+483.94</f>
        <v/>
      </c>
      <c r="F53" s="349">
        <f>8065.65+483.94</f>
        <v/>
      </c>
      <c r="G53" s="349">
        <f>8065.65+483.94</f>
        <v/>
      </c>
      <c r="H53" s="349">
        <f>8065.65+483.94</f>
        <v/>
      </c>
      <c r="I53" s="349">
        <f>8065.65+483.94</f>
        <v/>
      </c>
      <c r="J53" s="349">
        <f>8065.65+483.94</f>
        <v/>
      </c>
      <c r="K53" s="349">
        <f>8065.65+483.94</f>
        <v/>
      </c>
      <c r="L53" s="349">
        <f>8065.65+483.94</f>
        <v/>
      </c>
      <c r="M53" s="349">
        <f>8065.65+483.94</f>
        <v/>
      </c>
      <c r="N53" s="349">
        <f>8065.65+483.94</f>
        <v/>
      </c>
      <c r="O53" s="349">
        <f>8065.65+483.94</f>
        <v/>
      </c>
      <c r="P53" s="349">
        <f>8065.65+483.94</f>
        <v/>
      </c>
      <c r="Q53" s="349">
        <f>8065.65+483.94</f>
        <v/>
      </c>
      <c r="R53" s="349">
        <f>8065.65+483.94</f>
        <v/>
      </c>
      <c r="S53" s="349">
        <f>8065.65+483.94</f>
        <v/>
      </c>
      <c r="T53" s="349">
        <f>8065.65+483.94</f>
        <v/>
      </c>
      <c r="U53" s="349">
        <f>8065.65+483.94</f>
        <v/>
      </c>
      <c r="V53" s="349">
        <f>8065.65+483.94</f>
        <v/>
      </c>
      <c r="W53" s="349">
        <f>8065.65+483.94</f>
        <v/>
      </c>
      <c r="X53" s="349">
        <f>8065.65+483.94</f>
        <v/>
      </c>
      <c r="Y53" s="349">
        <f>8065.65+483.94</f>
        <v/>
      </c>
      <c r="Z53" s="349">
        <f>8065.65+483.94</f>
        <v/>
      </c>
      <c r="AA53" s="349">
        <f>8065.65+483.94</f>
        <v/>
      </c>
      <c r="AB53" s="349">
        <f>8065.65+483.94</f>
        <v/>
      </c>
      <c r="AC53" s="349">
        <f>8065.65+483.94</f>
        <v/>
      </c>
      <c r="AD53" s="349">
        <f>8065.65+483.94</f>
        <v/>
      </c>
      <c r="AE53" s="349">
        <f>8065.65+483.94</f>
        <v/>
      </c>
      <c r="AF53" s="349">
        <f>8065.65+483.94</f>
        <v/>
      </c>
      <c r="AG53" s="349">
        <f>8065.65+483.94</f>
        <v/>
      </c>
      <c r="AH53" s="349">
        <f>8065.65+483.94</f>
        <v/>
      </c>
      <c r="AI53" s="349">
        <f>8065.65+483.94</f>
        <v/>
      </c>
      <c r="AJ53" s="349">
        <f>8065.65+483.94</f>
        <v/>
      </c>
      <c r="AK53" s="349">
        <f>8065.65+483.94</f>
        <v/>
      </c>
      <c r="AL53" s="349">
        <f>8065.65+483.94</f>
        <v/>
      </c>
      <c r="AM53" s="349">
        <f>8065.65+483.94</f>
        <v/>
      </c>
      <c r="AN53" s="349">
        <f>8065.65+483.94</f>
        <v/>
      </c>
      <c r="AO53" s="349">
        <f>8065.65+483.94</f>
        <v/>
      </c>
      <c r="AP53" s="349">
        <f>8065.65+483.94</f>
        <v/>
      </c>
      <c r="AQ53" s="349">
        <f>8065.65+483.94</f>
        <v/>
      </c>
      <c r="AR53" s="349">
        <f>8065.65+483.94</f>
        <v/>
      </c>
      <c r="AS53" s="349">
        <f>8065.65+483.94</f>
        <v/>
      </c>
      <c r="AT53" s="349">
        <f>8065.65+483.94</f>
        <v/>
      </c>
      <c r="AU53" s="349">
        <f>8065.65+483.94</f>
        <v/>
      </c>
      <c r="AV53" s="349">
        <f>8065.65+483.94</f>
        <v/>
      </c>
      <c r="AW53" s="349">
        <f>8065.65+483.94</f>
        <v/>
      </c>
      <c r="AX53" s="349">
        <f>8065.65+483.94</f>
        <v/>
      </c>
      <c r="AY53" s="349">
        <f>8065.65+483.94</f>
        <v/>
      </c>
      <c r="AZ53" s="349">
        <f>8065.65+483.94</f>
        <v/>
      </c>
      <c r="BA53" s="349">
        <f>8065.65+483.94</f>
        <v/>
      </c>
      <c r="BB53" s="349">
        <f>8065.65+483.94</f>
        <v/>
      </c>
      <c r="BC53" s="349">
        <f>8065.65+483.94</f>
        <v/>
      </c>
      <c r="BD53" s="349">
        <f>8065.65+483.94</f>
        <v/>
      </c>
      <c r="BE53" s="349">
        <f>8065.65+483.94</f>
        <v/>
      </c>
      <c r="BF53" s="349">
        <f>8065.65+483.94</f>
        <v/>
      </c>
      <c r="BG53" s="349">
        <f>8065.65+483.94</f>
        <v/>
      </c>
      <c r="BH53" s="349">
        <f>8065.65+483.94</f>
        <v/>
      </c>
      <c r="BI53" s="349">
        <f>8065.65+483.94</f>
        <v/>
      </c>
      <c r="BJ53" s="349">
        <f>8065.65+483.94</f>
        <v/>
      </c>
      <c r="BK53" s="349">
        <f>8065.65+483.94</f>
        <v/>
      </c>
      <c r="BL53" s="349">
        <f>8065.65+483.94</f>
        <v/>
      </c>
      <c r="BM53" s="350">
        <f>SUM(E53:BL53)</f>
        <v/>
      </c>
    </row>
    <row r="54" ht="13.7" customFormat="1" customHeight="1" s="54">
      <c r="A54" s="48">
        <f>A53+1</f>
        <v/>
      </c>
      <c r="B54" s="286" t="inlineStr">
        <is>
          <t>Alberto Hauch Martinho</t>
        </is>
      </c>
      <c r="C54" s="257" t="n"/>
      <c r="D54" s="255" t="n"/>
      <c r="E54" s="349">
        <f>3173.83</f>
        <v/>
      </c>
      <c r="F54" s="349">
        <f>3173.83</f>
        <v/>
      </c>
      <c r="G54" s="349">
        <f>3173.83</f>
        <v/>
      </c>
      <c r="H54" s="349">
        <f>3173.83</f>
        <v/>
      </c>
      <c r="I54" s="349">
        <f>3173.83</f>
        <v/>
      </c>
      <c r="J54" s="349">
        <f>3173.83</f>
        <v/>
      </c>
      <c r="K54" s="349">
        <f>3173.83</f>
        <v/>
      </c>
      <c r="L54" s="349">
        <f>3173.83</f>
        <v/>
      </c>
      <c r="M54" s="349">
        <f>3173.83</f>
        <v/>
      </c>
      <c r="N54" s="349">
        <f>3173.83</f>
        <v/>
      </c>
      <c r="O54" s="349">
        <f>3173.83</f>
        <v/>
      </c>
      <c r="P54" s="349">
        <f>3173.83</f>
        <v/>
      </c>
      <c r="Q54" s="349">
        <f>3173.83</f>
        <v/>
      </c>
      <c r="R54" s="349">
        <f>3173.83</f>
        <v/>
      </c>
      <c r="S54" s="349">
        <f>3173.83</f>
        <v/>
      </c>
      <c r="T54" s="349">
        <f>3173.83</f>
        <v/>
      </c>
      <c r="U54" s="349" t="n"/>
      <c r="V54" s="349" t="n"/>
      <c r="W54" s="349" t="n"/>
      <c r="X54" s="349" t="n"/>
      <c r="Y54" s="349" t="n"/>
      <c r="Z54" s="349" t="n"/>
      <c r="AA54" s="349" t="n"/>
      <c r="AB54" s="349" t="n"/>
      <c r="AC54" s="349" t="n"/>
      <c r="AD54" s="349" t="n"/>
      <c r="AE54" s="349" t="n"/>
      <c r="AF54" s="349" t="n"/>
      <c r="AG54" s="349" t="n"/>
      <c r="AH54" s="349" t="n"/>
      <c r="AI54" s="349" t="n"/>
      <c r="AJ54" s="349" t="n"/>
      <c r="AK54" s="349" t="n"/>
      <c r="AL54" s="349" t="n"/>
      <c r="AM54" s="349" t="n"/>
      <c r="AN54" s="349" t="n"/>
      <c r="AO54" s="349" t="n"/>
      <c r="AP54" s="349" t="n"/>
      <c r="AQ54" s="349" t="n"/>
      <c r="AR54" s="349" t="n"/>
      <c r="AS54" s="349" t="n"/>
      <c r="AT54" s="349" t="n"/>
      <c r="AU54" s="349" t="n"/>
      <c r="AV54" s="349" t="n"/>
      <c r="AW54" s="349" t="n"/>
      <c r="AX54" s="349" t="n"/>
      <c r="AY54" s="349" t="n"/>
      <c r="AZ54" s="349" t="n"/>
      <c r="BA54" s="349" t="n"/>
      <c r="BB54" s="349" t="n"/>
      <c r="BC54" s="349" t="n"/>
      <c r="BD54" s="349" t="n"/>
      <c r="BE54" s="349" t="n"/>
      <c r="BF54" s="349" t="n"/>
      <c r="BG54" s="349" t="n"/>
      <c r="BH54" s="349" t="n"/>
      <c r="BI54" s="349" t="n"/>
      <c r="BJ54" s="349" t="n"/>
      <c r="BK54" s="349" t="n"/>
      <c r="BL54" s="349" t="n"/>
      <c r="BM54" s="350">
        <f>SUM(E54:BL54)</f>
        <v/>
      </c>
    </row>
    <row r="55" ht="13.7" customFormat="1" customHeight="1" s="54">
      <c r="A55" s="48">
        <f>A54+1</f>
        <v/>
      </c>
      <c r="B55" s="286" t="inlineStr">
        <is>
          <t>Alyne Zelinda de Barros</t>
        </is>
      </c>
      <c r="C55" s="257" t="n"/>
      <c r="D55" s="255" t="n"/>
      <c r="E55" s="349">
        <f>3548.24</f>
        <v/>
      </c>
      <c r="F55" s="349">
        <f>3548.24</f>
        <v/>
      </c>
      <c r="G55" s="349">
        <f>3548.24</f>
        <v/>
      </c>
      <c r="H55" s="349">
        <f>3548.24</f>
        <v/>
      </c>
      <c r="I55" s="349">
        <f>3548.24</f>
        <v/>
      </c>
      <c r="J55" s="349">
        <f>3548.24</f>
        <v/>
      </c>
      <c r="K55" s="349">
        <f>3548.24</f>
        <v/>
      </c>
      <c r="L55" s="349">
        <f>3548.24</f>
        <v/>
      </c>
      <c r="M55" s="349">
        <f>3548.24</f>
        <v/>
      </c>
      <c r="N55" s="349">
        <f>3548.24</f>
        <v/>
      </c>
      <c r="O55" s="349">
        <f>3548.24</f>
        <v/>
      </c>
      <c r="P55" s="349">
        <f>3548.24</f>
        <v/>
      </c>
      <c r="Q55" s="349">
        <f>3548.24</f>
        <v/>
      </c>
      <c r="R55" s="349">
        <f>3548.24</f>
        <v/>
      </c>
      <c r="S55" s="349">
        <f>3548.24</f>
        <v/>
      </c>
      <c r="T55" s="349">
        <f>3548.24</f>
        <v/>
      </c>
      <c r="U55" s="349" t="n"/>
      <c r="V55" s="349" t="n"/>
      <c r="W55" s="349" t="n"/>
      <c r="X55" s="349" t="n"/>
      <c r="Y55" s="349" t="n"/>
      <c r="Z55" s="349" t="n"/>
      <c r="AA55" s="349" t="n"/>
      <c r="AB55" s="349" t="n"/>
      <c r="AC55" s="349" t="n"/>
      <c r="AD55" s="349" t="n"/>
      <c r="AE55" s="349" t="n"/>
      <c r="AF55" s="349" t="n"/>
      <c r="AG55" s="349" t="n"/>
      <c r="AH55" s="349" t="n"/>
      <c r="AI55" s="349" t="n"/>
      <c r="AJ55" s="349" t="n"/>
      <c r="AK55" s="349" t="n"/>
      <c r="AL55" s="349" t="n"/>
      <c r="AM55" s="349" t="n"/>
      <c r="AN55" s="349" t="n"/>
      <c r="AO55" s="349" t="n"/>
      <c r="AP55" s="349" t="n"/>
      <c r="AQ55" s="349" t="n"/>
      <c r="AR55" s="349" t="n"/>
      <c r="AS55" s="349" t="n"/>
      <c r="AT55" s="349" t="n"/>
      <c r="AU55" s="349" t="n"/>
      <c r="AV55" s="349" t="n"/>
      <c r="AW55" s="349" t="n"/>
      <c r="AX55" s="349" t="n"/>
      <c r="AY55" s="349" t="n"/>
      <c r="AZ55" s="349" t="n"/>
      <c r="BA55" s="349" t="n"/>
      <c r="BB55" s="349" t="n"/>
      <c r="BC55" s="349" t="n"/>
      <c r="BD55" s="349" t="n"/>
      <c r="BE55" s="349" t="n"/>
      <c r="BF55" s="349" t="n"/>
      <c r="BG55" s="349" t="n"/>
      <c r="BH55" s="349" t="n"/>
      <c r="BI55" s="349" t="n"/>
      <c r="BJ55" s="349" t="n"/>
      <c r="BK55" s="349" t="n"/>
      <c r="BL55" s="349" t="n"/>
      <c r="BM55" s="350">
        <f>SUM(E55:BL55)</f>
        <v/>
      </c>
    </row>
    <row r="56" ht="13.7" customFormat="1" customHeight="1" s="54">
      <c r="A56" s="48">
        <f>A55+1</f>
        <v/>
      </c>
      <c r="B56" s="286" t="inlineStr">
        <is>
          <t>Davyd Carlos Martins</t>
        </is>
      </c>
      <c r="C56" s="257" t="n"/>
      <c r="D56" s="255" t="n"/>
      <c r="E56" s="349">
        <f>7652.5+797.57</f>
        <v/>
      </c>
      <c r="F56" s="349">
        <f>7652.5+797.57</f>
        <v/>
      </c>
      <c r="G56" s="349">
        <f>7652.5+797.57</f>
        <v/>
      </c>
      <c r="H56" s="349">
        <f>7652.5+797.57</f>
        <v/>
      </c>
      <c r="I56" s="349">
        <f>7652.5+797.57</f>
        <v/>
      </c>
      <c r="J56" s="349">
        <f>7652.5+797.57</f>
        <v/>
      </c>
      <c r="K56" s="349">
        <f>7652.5+797.57</f>
        <v/>
      </c>
      <c r="L56" s="349">
        <f>7652.5+797.57</f>
        <v/>
      </c>
      <c r="M56" s="349">
        <f>7652.5+797.57</f>
        <v/>
      </c>
      <c r="N56" s="349">
        <f>7652.5+797.57</f>
        <v/>
      </c>
      <c r="O56" s="349">
        <f>7652.5+797.57</f>
        <v/>
      </c>
      <c r="P56" s="349">
        <f>7652.5+797.57</f>
        <v/>
      </c>
      <c r="Q56" s="349">
        <f>7652.5+797.57</f>
        <v/>
      </c>
      <c r="R56" s="349">
        <f>7652.5+797.57</f>
        <v/>
      </c>
      <c r="S56" s="349">
        <f>7652.5+797.57</f>
        <v/>
      </c>
      <c r="T56" s="349">
        <f>7652.5+797.57</f>
        <v/>
      </c>
      <c r="U56" s="349" t="n"/>
      <c r="V56" s="349" t="n"/>
      <c r="W56" s="349" t="n"/>
      <c r="X56" s="349" t="n"/>
      <c r="Y56" s="349" t="n"/>
      <c r="Z56" s="349" t="n"/>
      <c r="AA56" s="349" t="n"/>
      <c r="AB56" s="349" t="n"/>
      <c r="AC56" s="349" t="n"/>
      <c r="AD56" s="349" t="n"/>
      <c r="AE56" s="349" t="n"/>
      <c r="AF56" s="349" t="n"/>
      <c r="AG56" s="349" t="n"/>
      <c r="AH56" s="349" t="n"/>
      <c r="AI56" s="349" t="n"/>
      <c r="AJ56" s="349" t="n"/>
      <c r="AK56" s="349" t="n"/>
      <c r="AL56" s="349" t="n"/>
      <c r="AM56" s="349" t="n"/>
      <c r="AN56" s="349" t="n"/>
      <c r="AO56" s="349" t="n"/>
      <c r="AP56" s="349" t="n"/>
      <c r="AQ56" s="349" t="n"/>
      <c r="AR56" s="349" t="n"/>
      <c r="AS56" s="349" t="n"/>
      <c r="AT56" s="349" t="n"/>
      <c r="AU56" s="349" t="n"/>
      <c r="AV56" s="349" t="n"/>
      <c r="AW56" s="349" t="n"/>
      <c r="AX56" s="349" t="n"/>
      <c r="AY56" s="349" t="n"/>
      <c r="AZ56" s="349" t="n"/>
      <c r="BA56" s="349" t="n"/>
      <c r="BB56" s="349" t="n"/>
      <c r="BC56" s="349" t="n"/>
      <c r="BD56" s="349" t="n"/>
      <c r="BE56" s="349" t="n"/>
      <c r="BF56" s="349" t="n"/>
      <c r="BG56" s="349" t="n"/>
      <c r="BH56" s="349" t="n"/>
      <c r="BI56" s="349" t="n"/>
      <c r="BJ56" s="349" t="n"/>
      <c r="BK56" s="349" t="n"/>
      <c r="BL56" s="349" t="n"/>
      <c r="BM56" s="350">
        <f>SUM(E56:BL56)</f>
        <v/>
      </c>
    </row>
    <row r="57" ht="13.7" customFormat="1" customHeight="1" s="54">
      <c r="A57" s="48">
        <f>A56+1</f>
        <v/>
      </c>
      <c r="B57" s="286" t="inlineStr">
        <is>
          <t>Débora Cristina Siridakis Correa</t>
        </is>
      </c>
      <c r="C57" s="257" t="n"/>
      <c r="D57" s="255" t="n"/>
      <c r="E57" s="349">
        <f>4813.76+288.83</f>
        <v/>
      </c>
      <c r="F57" s="349">
        <f>4813.76+288.83</f>
        <v/>
      </c>
      <c r="G57" s="349">
        <f>4813.76+288.83</f>
        <v/>
      </c>
      <c r="H57" s="349">
        <f>4813.76+288.83</f>
        <v/>
      </c>
      <c r="I57" s="349">
        <f>4813.76+288.83</f>
        <v/>
      </c>
      <c r="J57" s="349">
        <f>4813.76+288.83</f>
        <v/>
      </c>
      <c r="K57" s="349">
        <f>4813.76+288.83</f>
        <v/>
      </c>
      <c r="L57" s="349">
        <f>4813.76+288.83</f>
        <v/>
      </c>
      <c r="M57" s="349">
        <f>4813.76+288.83</f>
        <v/>
      </c>
      <c r="N57" s="349">
        <f>4813.76+288.83</f>
        <v/>
      </c>
      <c r="O57" s="349">
        <f>4813.76+288.83</f>
        <v/>
      </c>
      <c r="P57" s="349">
        <f>4813.76+288.83</f>
        <v/>
      </c>
      <c r="Q57" s="349">
        <f>4813.76+288.83</f>
        <v/>
      </c>
      <c r="R57" s="349">
        <f>4813.76+288.83</f>
        <v/>
      </c>
      <c r="S57" s="349">
        <f>4813.76+288.83</f>
        <v/>
      </c>
      <c r="T57" s="349">
        <f>4813.76+288.83</f>
        <v/>
      </c>
      <c r="U57" s="349" t="n"/>
      <c r="V57" s="349" t="n"/>
      <c r="W57" s="349" t="n"/>
      <c r="X57" s="349" t="n"/>
      <c r="Y57" s="349" t="n"/>
      <c r="Z57" s="349" t="n"/>
      <c r="AA57" s="349" t="n"/>
      <c r="AB57" s="349" t="n"/>
      <c r="AC57" s="349" t="n"/>
      <c r="AD57" s="349" t="n"/>
      <c r="AE57" s="349" t="n"/>
      <c r="AF57" s="349" t="n"/>
      <c r="AG57" s="349" t="n"/>
      <c r="AH57" s="349" t="n"/>
      <c r="AI57" s="349" t="n"/>
      <c r="AJ57" s="349" t="n"/>
      <c r="AK57" s="349" t="n"/>
      <c r="AL57" s="349" t="n"/>
      <c r="AM57" s="349" t="n"/>
      <c r="AN57" s="349" t="n"/>
      <c r="AO57" s="349" t="n"/>
      <c r="AP57" s="349" t="n"/>
      <c r="AQ57" s="349" t="n"/>
      <c r="AR57" s="349" t="n"/>
      <c r="AS57" s="349" t="n"/>
      <c r="AT57" s="349" t="n"/>
      <c r="AU57" s="349" t="n"/>
      <c r="AV57" s="349" t="n"/>
      <c r="AW57" s="349" t="n"/>
      <c r="AX57" s="349" t="n"/>
      <c r="AY57" s="349" t="n"/>
      <c r="AZ57" s="349" t="n"/>
      <c r="BA57" s="349" t="n"/>
      <c r="BB57" s="349" t="n"/>
      <c r="BC57" s="349" t="n"/>
      <c r="BD57" s="349" t="n"/>
      <c r="BE57" s="349" t="n"/>
      <c r="BF57" s="349" t="n"/>
      <c r="BG57" s="349" t="n"/>
      <c r="BH57" s="349" t="n"/>
      <c r="BI57" s="349" t="n"/>
      <c r="BJ57" s="349" t="n"/>
      <c r="BK57" s="349" t="n"/>
      <c r="BL57" s="349" t="n"/>
      <c r="BM57" s="350">
        <f>SUM(E57:BL57)</f>
        <v/>
      </c>
    </row>
    <row r="58" ht="13.7" customFormat="1" customHeight="1" s="54">
      <c r="A58" s="48">
        <f>A57+1</f>
        <v/>
      </c>
      <c r="B58" s="286" t="inlineStr">
        <is>
          <t>Gabriel da Cunha Lima</t>
        </is>
      </c>
      <c r="C58" s="257" t="n"/>
      <c r="D58" s="255" t="n"/>
      <c r="E58" s="349">
        <f>3721.04</f>
        <v/>
      </c>
      <c r="F58" s="349">
        <f>3721.04</f>
        <v/>
      </c>
      <c r="G58" s="349">
        <f>3721.04</f>
        <v/>
      </c>
      <c r="H58" s="349">
        <f>3721.04</f>
        <v/>
      </c>
      <c r="I58" s="349">
        <f>3721.04</f>
        <v/>
      </c>
      <c r="J58" s="349">
        <f>3721.04</f>
        <v/>
      </c>
      <c r="K58" s="349">
        <f>3721.04</f>
        <v/>
      </c>
      <c r="L58" s="349">
        <f>3721.04</f>
        <v/>
      </c>
      <c r="M58" s="349">
        <f>3721.04</f>
        <v/>
      </c>
      <c r="N58" s="349">
        <f>3721.04</f>
        <v/>
      </c>
      <c r="O58" s="349">
        <f>3721.04</f>
        <v/>
      </c>
      <c r="P58" s="349">
        <f>3721.04</f>
        <v/>
      </c>
      <c r="Q58" s="349">
        <f>3721.04</f>
        <v/>
      </c>
      <c r="R58" s="349">
        <f>3721.04</f>
        <v/>
      </c>
      <c r="S58" s="349">
        <f>3721.04</f>
        <v/>
      </c>
      <c r="T58" s="349">
        <f>3721.04</f>
        <v/>
      </c>
      <c r="U58" s="349" t="n"/>
      <c r="V58" s="349" t="n"/>
      <c r="W58" s="349" t="n"/>
      <c r="X58" s="349" t="n"/>
      <c r="Y58" s="349" t="n"/>
      <c r="Z58" s="349" t="n"/>
      <c r="AA58" s="349" t="n"/>
      <c r="AB58" s="349" t="n"/>
      <c r="AC58" s="349" t="n"/>
      <c r="AD58" s="349" t="n"/>
      <c r="AE58" s="349" t="n"/>
      <c r="AF58" s="349" t="n"/>
      <c r="AG58" s="349" t="n"/>
      <c r="AH58" s="349" t="n"/>
      <c r="AI58" s="349" t="n"/>
      <c r="AJ58" s="349" t="n"/>
      <c r="AK58" s="349" t="n"/>
      <c r="AL58" s="349" t="n"/>
      <c r="AM58" s="349" t="n"/>
      <c r="AN58" s="349" t="n"/>
      <c r="AO58" s="349" t="n"/>
      <c r="AP58" s="349" t="n"/>
      <c r="AQ58" s="349" t="n"/>
      <c r="AR58" s="349" t="n"/>
      <c r="AS58" s="349" t="n"/>
      <c r="AT58" s="349" t="n"/>
      <c r="AU58" s="349" t="n"/>
      <c r="AV58" s="349" t="n"/>
      <c r="AW58" s="349" t="n"/>
      <c r="AX58" s="349" t="n"/>
      <c r="AY58" s="349" t="n"/>
      <c r="AZ58" s="349" t="n"/>
      <c r="BA58" s="349" t="n"/>
      <c r="BB58" s="349" t="n"/>
      <c r="BC58" s="349" t="n"/>
      <c r="BD58" s="349" t="n"/>
      <c r="BE58" s="349" t="n"/>
      <c r="BF58" s="349" t="n"/>
      <c r="BG58" s="349" t="n"/>
      <c r="BH58" s="349" t="n"/>
      <c r="BI58" s="349" t="n"/>
      <c r="BJ58" s="349" t="n"/>
      <c r="BK58" s="349" t="n"/>
      <c r="BL58" s="349" t="n"/>
      <c r="BM58" s="350">
        <f>SUM(E58:BL58)</f>
        <v/>
      </c>
    </row>
    <row r="59" ht="13.7" customFormat="1" customHeight="1" s="54">
      <c r="A59" s="48">
        <f>A58+1</f>
        <v/>
      </c>
      <c r="B59" s="286" t="inlineStr">
        <is>
          <t>Graziane da Rocha Silveira</t>
        </is>
      </c>
      <c r="C59" s="257" t="n"/>
      <c r="D59" s="255" t="n"/>
      <c r="E59" s="349">
        <f>4297.8+257.87</f>
        <v/>
      </c>
      <c r="F59" s="349">
        <f>4297.8+257.87</f>
        <v/>
      </c>
      <c r="G59" s="349">
        <f>4297.8+257.87</f>
        <v/>
      </c>
      <c r="H59" s="349">
        <f>4297.8+257.87</f>
        <v/>
      </c>
      <c r="I59" s="349">
        <f>4297.8+257.87</f>
        <v/>
      </c>
      <c r="J59" s="349">
        <f>4297.8+257.87</f>
        <v/>
      </c>
      <c r="K59" s="349">
        <f>4297.8+257.87</f>
        <v/>
      </c>
      <c r="L59" s="349">
        <f>4297.8+257.87</f>
        <v/>
      </c>
      <c r="M59" s="349">
        <f>4297.8+257.87</f>
        <v/>
      </c>
      <c r="N59" s="349">
        <f>4297.8+257.87</f>
        <v/>
      </c>
      <c r="O59" s="349">
        <f>4297.8+257.87</f>
        <v/>
      </c>
      <c r="P59" s="349">
        <f>4297.8+257.87</f>
        <v/>
      </c>
      <c r="Q59" s="349">
        <f>4297.8+257.87</f>
        <v/>
      </c>
      <c r="R59" s="349">
        <f>4297.8+257.87</f>
        <v/>
      </c>
      <c r="S59" s="349">
        <f>4297.8+257.87</f>
        <v/>
      </c>
      <c r="T59" s="349">
        <f>4297.8+257.87</f>
        <v/>
      </c>
      <c r="U59" s="349" t="n"/>
      <c r="V59" s="349" t="n"/>
      <c r="W59" s="349" t="n"/>
      <c r="X59" s="349" t="n"/>
      <c r="Y59" s="349" t="n"/>
      <c r="Z59" s="349" t="n"/>
      <c r="AA59" s="349" t="n"/>
      <c r="AB59" s="349" t="n"/>
      <c r="AC59" s="349" t="n"/>
      <c r="AD59" s="349" t="n"/>
      <c r="AE59" s="349" t="n"/>
      <c r="AF59" s="349" t="n"/>
      <c r="AG59" s="349" t="n"/>
      <c r="AH59" s="349" t="n"/>
      <c r="AI59" s="349" t="n"/>
      <c r="AJ59" s="349" t="n"/>
      <c r="AK59" s="349" t="n"/>
      <c r="AL59" s="349" t="n"/>
      <c r="AM59" s="349" t="n"/>
      <c r="AN59" s="349" t="n"/>
      <c r="AO59" s="349" t="n"/>
      <c r="AP59" s="349" t="n"/>
      <c r="AQ59" s="349" t="n"/>
      <c r="AR59" s="349" t="n"/>
      <c r="AS59" s="349" t="n"/>
      <c r="AT59" s="349" t="n"/>
      <c r="AU59" s="349" t="n"/>
      <c r="AV59" s="349" t="n"/>
      <c r="AW59" s="349" t="n"/>
      <c r="AX59" s="349" t="n"/>
      <c r="AY59" s="349" t="n"/>
      <c r="AZ59" s="349" t="n"/>
      <c r="BA59" s="349" t="n"/>
      <c r="BB59" s="349" t="n"/>
      <c r="BC59" s="349" t="n"/>
      <c r="BD59" s="349" t="n"/>
      <c r="BE59" s="349" t="n"/>
      <c r="BF59" s="349" t="n"/>
      <c r="BG59" s="349" t="n"/>
      <c r="BH59" s="349" t="n"/>
      <c r="BI59" s="349" t="n"/>
      <c r="BJ59" s="349" t="n"/>
      <c r="BK59" s="349" t="n"/>
      <c r="BL59" s="349" t="n"/>
      <c r="BM59" s="350">
        <f>SUM(E59:BL59)</f>
        <v/>
      </c>
    </row>
    <row r="60" ht="13.7" customFormat="1" customHeight="1" s="54">
      <c r="A60" s="48">
        <f>A59+1</f>
        <v/>
      </c>
      <c r="B60" s="286" t="inlineStr">
        <is>
          <t>Inês Peglow</t>
        </is>
      </c>
      <c r="C60" s="257" t="n"/>
      <c r="D60" s="255" t="n"/>
      <c r="E60" s="349">
        <f>3907.09+801.71+423.79</f>
        <v/>
      </c>
      <c r="F60" s="349">
        <f>3907.09+801.71+423.79</f>
        <v/>
      </c>
      <c r="G60" s="349">
        <f>3907.09+801.71+423.79</f>
        <v/>
      </c>
      <c r="H60" s="349">
        <f>3907.09+801.71+423.79</f>
        <v/>
      </c>
      <c r="I60" s="349">
        <f>3907.09+801.71+423.79</f>
        <v/>
      </c>
      <c r="J60" s="349">
        <f>3907.09+801.71+423.79</f>
        <v/>
      </c>
      <c r="K60" s="349">
        <f>3907.09+801.71+423.79</f>
        <v/>
      </c>
      <c r="L60" s="349">
        <f>3907.09+801.71+423.79</f>
        <v/>
      </c>
      <c r="M60" s="349">
        <f>3907.09+801.71+423.79</f>
        <v/>
      </c>
      <c r="N60" s="349">
        <f>3907.09+801.71+423.79</f>
        <v/>
      </c>
      <c r="O60" s="349">
        <f>3907.09+801.71+423.79</f>
        <v/>
      </c>
      <c r="P60" s="349">
        <f>3907.09+801.71+423.79</f>
        <v/>
      </c>
      <c r="Q60" s="349">
        <f>3907.09+801.71+423.79</f>
        <v/>
      </c>
      <c r="R60" s="349">
        <f>3907.09+801.71+423.79</f>
        <v/>
      </c>
      <c r="S60" s="349">
        <f>3907.09+801.71+423.79</f>
        <v/>
      </c>
      <c r="T60" s="349">
        <f>3907.09+801.71+423.79</f>
        <v/>
      </c>
      <c r="U60" s="349" t="n"/>
      <c r="V60" s="349" t="n"/>
      <c r="W60" s="349" t="n"/>
      <c r="X60" s="349" t="n"/>
      <c r="Y60" s="349" t="n"/>
      <c r="Z60" s="349" t="n"/>
      <c r="AA60" s="349" t="n"/>
      <c r="AB60" s="349" t="n"/>
      <c r="AC60" s="349" t="n"/>
      <c r="AD60" s="349" t="n"/>
      <c r="AE60" s="349" t="n"/>
      <c r="AF60" s="349" t="n"/>
      <c r="AG60" s="349" t="n"/>
      <c r="AH60" s="349" t="n"/>
      <c r="AI60" s="349" t="n"/>
      <c r="AJ60" s="349" t="n"/>
      <c r="AK60" s="349" t="n"/>
      <c r="AL60" s="349" t="n"/>
      <c r="AM60" s="349" t="n"/>
      <c r="AN60" s="349" t="n"/>
      <c r="AO60" s="349" t="n"/>
      <c r="AP60" s="349" t="n"/>
      <c r="AQ60" s="349" t="n"/>
      <c r="AR60" s="349" t="n"/>
      <c r="AS60" s="349" t="n"/>
      <c r="AT60" s="349" t="n"/>
      <c r="AU60" s="349" t="n"/>
      <c r="AV60" s="349" t="n"/>
      <c r="AW60" s="349" t="n"/>
      <c r="AX60" s="349" t="n"/>
      <c r="AY60" s="349" t="n"/>
      <c r="AZ60" s="349" t="n"/>
      <c r="BA60" s="349" t="n"/>
      <c r="BB60" s="349" t="n"/>
      <c r="BC60" s="349" t="n"/>
      <c r="BD60" s="349" t="n"/>
      <c r="BE60" s="349" t="n"/>
      <c r="BF60" s="349" t="n"/>
      <c r="BG60" s="349" t="n"/>
      <c r="BH60" s="349" t="n"/>
      <c r="BI60" s="349" t="n"/>
      <c r="BJ60" s="349" t="n"/>
      <c r="BK60" s="349" t="n"/>
      <c r="BL60" s="349" t="n"/>
      <c r="BM60" s="350">
        <f>SUM(E60:BL60)</f>
        <v/>
      </c>
    </row>
    <row r="61" ht="13.7" customFormat="1" customHeight="1" s="54">
      <c r="A61" s="48">
        <f>A60+1</f>
        <v/>
      </c>
      <c r="B61" s="286" t="inlineStr">
        <is>
          <t>Karin Cristina Amorim</t>
        </is>
      </c>
      <c r="C61" s="257" t="n"/>
      <c r="D61" s="255" t="n"/>
      <c r="E61" s="349">
        <f>3597.65+431.72</f>
        <v/>
      </c>
      <c r="F61" s="349">
        <f>3597.65+431.72</f>
        <v/>
      </c>
      <c r="G61" s="349">
        <f>3597.65+431.72</f>
        <v/>
      </c>
      <c r="H61" s="349">
        <f>3597.65+431.72</f>
        <v/>
      </c>
      <c r="I61" s="349">
        <f>3597.65+431.72</f>
        <v/>
      </c>
      <c r="J61" s="349">
        <f>3597.65+431.72</f>
        <v/>
      </c>
      <c r="K61" s="349">
        <f>3597.65+431.72</f>
        <v/>
      </c>
      <c r="L61" s="349">
        <f>3597.65+431.72</f>
        <v/>
      </c>
      <c r="M61" s="349">
        <f>3597.65+431.72</f>
        <v/>
      </c>
      <c r="N61" s="349">
        <f>3597.65+431.72</f>
        <v/>
      </c>
      <c r="O61" s="349">
        <f>3597.65+431.72</f>
        <v/>
      </c>
      <c r="P61" s="349">
        <f>3597.65+431.72</f>
        <v/>
      </c>
      <c r="Q61" s="349">
        <f>3597.65+431.72</f>
        <v/>
      </c>
      <c r="R61" s="349">
        <f>3597.65+431.72</f>
        <v/>
      </c>
      <c r="S61" s="349">
        <f>3597.65+431.72</f>
        <v/>
      </c>
      <c r="T61" s="349">
        <f>3597.65+431.72</f>
        <v/>
      </c>
      <c r="U61" s="349" t="n"/>
      <c r="V61" s="349" t="n"/>
      <c r="W61" s="349" t="n"/>
      <c r="X61" s="349" t="n"/>
      <c r="Y61" s="349" t="n"/>
      <c r="Z61" s="349" t="n"/>
      <c r="AA61" s="349" t="n"/>
      <c r="AB61" s="349" t="n"/>
      <c r="AC61" s="349" t="n"/>
      <c r="AD61" s="349" t="n"/>
      <c r="AE61" s="349" t="n"/>
      <c r="AF61" s="349" t="n"/>
      <c r="AG61" s="349" t="n"/>
      <c r="AH61" s="349" t="n"/>
      <c r="AI61" s="349" t="n"/>
      <c r="AJ61" s="349" t="n"/>
      <c r="AK61" s="349" t="n"/>
      <c r="AL61" s="349" t="n"/>
      <c r="AM61" s="349" t="n"/>
      <c r="AN61" s="349" t="n"/>
      <c r="AO61" s="349" t="n"/>
      <c r="AP61" s="349" t="n"/>
      <c r="AQ61" s="349" t="n"/>
      <c r="AR61" s="349" t="n"/>
      <c r="AS61" s="349" t="n"/>
      <c r="AT61" s="349" t="n"/>
      <c r="AU61" s="349" t="n"/>
      <c r="AV61" s="349" t="n"/>
      <c r="AW61" s="349" t="n"/>
      <c r="AX61" s="349" t="n"/>
      <c r="AY61" s="349" t="n"/>
      <c r="AZ61" s="349" t="n"/>
      <c r="BA61" s="349" t="n"/>
      <c r="BB61" s="349" t="n"/>
      <c r="BC61" s="349" t="n"/>
      <c r="BD61" s="349" t="n"/>
      <c r="BE61" s="349" t="n"/>
      <c r="BF61" s="349" t="n"/>
      <c r="BG61" s="349" t="n"/>
      <c r="BH61" s="349" t="n"/>
      <c r="BI61" s="349" t="n"/>
      <c r="BJ61" s="349" t="n"/>
      <c r="BK61" s="349" t="n"/>
      <c r="BL61" s="349" t="n"/>
      <c r="BM61" s="350">
        <f>SUM(E61:BL61)</f>
        <v/>
      </c>
    </row>
    <row r="62" ht="13.7" customFormat="1" customHeight="1" s="54">
      <c r="A62" s="48">
        <f>A61+1</f>
        <v/>
      </c>
      <c r="B62" s="286" t="inlineStr">
        <is>
          <t>Lara Caldeira de Andrade e Silva</t>
        </is>
      </c>
      <c r="C62" s="257" t="n"/>
      <c r="D62" s="255" t="n"/>
      <c r="E62" s="349">
        <f>3907.09+234.43</f>
        <v/>
      </c>
      <c r="F62" s="349">
        <f>3907.09+234.43</f>
        <v/>
      </c>
      <c r="G62" s="349">
        <f>3907.09+234.43</f>
        <v/>
      </c>
      <c r="H62" s="349">
        <f>3907.09+234.43</f>
        <v/>
      </c>
      <c r="I62" s="349">
        <f>3907.09+234.43</f>
        <v/>
      </c>
      <c r="J62" s="349">
        <f>3907.09+234.43</f>
        <v/>
      </c>
      <c r="K62" s="349">
        <f>3907.09+234.43</f>
        <v/>
      </c>
      <c r="L62" s="349">
        <f>3907.09+234.43</f>
        <v/>
      </c>
      <c r="M62" s="349">
        <f>3907.09+234.43</f>
        <v/>
      </c>
      <c r="N62" s="349">
        <f>3907.09+234.43</f>
        <v/>
      </c>
      <c r="O62" s="349">
        <f>3907.09+234.43</f>
        <v/>
      </c>
      <c r="P62" s="349">
        <f>3907.09+234.43</f>
        <v/>
      </c>
      <c r="Q62" s="349">
        <f>3907.09+234.43</f>
        <v/>
      </c>
      <c r="R62" s="349">
        <f>3907.09+234.43</f>
        <v/>
      </c>
      <c r="S62" s="349">
        <f>3907.09+234.43</f>
        <v/>
      </c>
      <c r="T62" s="349">
        <f>3907.09+234.43</f>
        <v/>
      </c>
      <c r="U62" s="349" t="n"/>
      <c r="V62" s="349" t="n"/>
      <c r="W62" s="349" t="n"/>
      <c r="X62" s="349" t="n"/>
      <c r="Y62" s="349" t="n"/>
      <c r="Z62" s="349" t="n"/>
      <c r="AA62" s="349" t="n"/>
      <c r="AB62" s="349" t="n"/>
      <c r="AC62" s="349" t="n"/>
      <c r="AD62" s="349" t="n"/>
      <c r="AE62" s="349" t="n"/>
      <c r="AF62" s="349" t="n"/>
      <c r="AG62" s="349" t="n"/>
      <c r="AH62" s="349" t="n"/>
      <c r="AI62" s="349" t="n"/>
      <c r="AJ62" s="349" t="n"/>
      <c r="AK62" s="349" t="n"/>
      <c r="AL62" s="349" t="n"/>
      <c r="AM62" s="349" t="n"/>
      <c r="AN62" s="349" t="n"/>
      <c r="AO62" s="349" t="n"/>
      <c r="AP62" s="349" t="n"/>
      <c r="AQ62" s="349" t="n"/>
      <c r="AR62" s="349" t="n"/>
      <c r="AS62" s="349" t="n"/>
      <c r="AT62" s="349" t="n"/>
      <c r="AU62" s="349" t="n"/>
      <c r="AV62" s="349" t="n"/>
      <c r="AW62" s="349" t="n"/>
      <c r="AX62" s="349" t="n"/>
      <c r="AY62" s="349" t="n"/>
      <c r="AZ62" s="349" t="n"/>
      <c r="BA62" s="349" t="n"/>
      <c r="BB62" s="349" t="n"/>
      <c r="BC62" s="349" t="n"/>
      <c r="BD62" s="349" t="n"/>
      <c r="BE62" s="349" t="n"/>
      <c r="BF62" s="349" t="n"/>
      <c r="BG62" s="349" t="n"/>
      <c r="BH62" s="349" t="n"/>
      <c r="BI62" s="349" t="n"/>
      <c r="BJ62" s="349" t="n"/>
      <c r="BK62" s="349" t="n"/>
      <c r="BL62" s="349" t="n"/>
      <c r="BM62" s="350">
        <f>SUM(E62:BL62)</f>
        <v/>
      </c>
    </row>
    <row r="63" ht="13.7" customFormat="1" customHeight="1" s="54">
      <c r="A63" s="48">
        <f>A62+1</f>
        <v/>
      </c>
      <c r="B63" s="286" t="inlineStr">
        <is>
          <t>Lisiane do Carmo Nascimento de Oliveira Bispo</t>
        </is>
      </c>
      <c r="C63" s="257" t="n"/>
      <c r="D63" s="255" t="n"/>
      <c r="E63" s="349">
        <f>2606.08</f>
        <v/>
      </c>
      <c r="F63" s="349">
        <f>2606.08</f>
        <v/>
      </c>
      <c r="G63" s="349">
        <f>2606.08</f>
        <v/>
      </c>
      <c r="H63" s="349">
        <f>2606.08</f>
        <v/>
      </c>
      <c r="I63" s="349">
        <f>2606.08</f>
        <v/>
      </c>
      <c r="J63" s="349">
        <f>2606.08</f>
        <v/>
      </c>
      <c r="K63" s="349">
        <f>2606.08</f>
        <v/>
      </c>
      <c r="L63" s="349">
        <f>2606.08</f>
        <v/>
      </c>
      <c r="M63" s="349">
        <f>2606.08</f>
        <v/>
      </c>
      <c r="N63" s="349">
        <f>2606.08</f>
        <v/>
      </c>
      <c r="O63" s="349">
        <f>2606.08</f>
        <v/>
      </c>
      <c r="P63" s="349">
        <f>2606.08</f>
        <v/>
      </c>
      <c r="Q63" s="349">
        <f>2606.08</f>
        <v/>
      </c>
      <c r="R63" s="349">
        <f>2606.08</f>
        <v/>
      </c>
      <c r="S63" s="349">
        <f>2606.08</f>
        <v/>
      </c>
      <c r="T63" s="349">
        <f>2606.08</f>
        <v/>
      </c>
      <c r="U63" s="349" t="n"/>
      <c r="V63" s="349" t="n"/>
      <c r="W63" s="349" t="n"/>
      <c r="X63" s="349" t="n"/>
      <c r="Y63" s="349" t="n"/>
      <c r="Z63" s="349" t="n"/>
      <c r="AA63" s="349" t="n"/>
      <c r="AB63" s="349" t="n"/>
      <c r="AC63" s="349" t="n"/>
      <c r="AD63" s="349" t="n"/>
      <c r="AE63" s="349" t="n"/>
      <c r="AF63" s="349" t="n"/>
      <c r="AG63" s="349" t="n"/>
      <c r="AH63" s="349" t="n"/>
      <c r="AI63" s="349" t="n"/>
      <c r="AJ63" s="349" t="n"/>
      <c r="AK63" s="349" t="n"/>
      <c r="AL63" s="349" t="n"/>
      <c r="AM63" s="349" t="n"/>
      <c r="AN63" s="349" t="n"/>
      <c r="AO63" s="349" t="n"/>
      <c r="AP63" s="349" t="n"/>
      <c r="AQ63" s="349" t="n"/>
      <c r="AR63" s="349" t="n"/>
      <c r="AS63" s="349" t="n"/>
      <c r="AT63" s="349" t="n"/>
      <c r="AU63" s="349" t="n"/>
      <c r="AV63" s="349" t="n"/>
      <c r="AW63" s="349" t="n"/>
      <c r="AX63" s="349" t="n"/>
      <c r="AY63" s="349" t="n"/>
      <c r="AZ63" s="349" t="n"/>
      <c r="BA63" s="349" t="n"/>
      <c r="BB63" s="349" t="n"/>
      <c r="BC63" s="349" t="n"/>
      <c r="BD63" s="349" t="n"/>
      <c r="BE63" s="349" t="n"/>
      <c r="BF63" s="349" t="n"/>
      <c r="BG63" s="349" t="n"/>
      <c r="BH63" s="349" t="n"/>
      <c r="BI63" s="349" t="n"/>
      <c r="BJ63" s="349" t="n"/>
      <c r="BK63" s="349" t="n"/>
      <c r="BL63" s="349" t="n"/>
      <c r="BM63" s="350">
        <f>SUM(E63:BL63)</f>
        <v/>
      </c>
    </row>
    <row r="64" ht="13.7" customFormat="1" customHeight="1" s="54">
      <c r="A64" s="48">
        <f>A63+1</f>
        <v/>
      </c>
      <c r="B64" s="286" t="inlineStr">
        <is>
          <t>Mara Regina Bernardini</t>
        </is>
      </c>
      <c r="C64" s="257" t="n"/>
      <c r="D64" s="255" t="n"/>
      <c r="E64" s="349">
        <f>4626.83+694.02</f>
        <v/>
      </c>
      <c r="F64" s="349">
        <f>4626.83+694.02</f>
        <v/>
      </c>
      <c r="G64" s="349">
        <f>4626.83+694.02</f>
        <v/>
      </c>
      <c r="H64" s="349">
        <f>4626.83+694.02</f>
        <v/>
      </c>
      <c r="I64" s="349">
        <f>4626.83+694.02</f>
        <v/>
      </c>
      <c r="J64" s="349">
        <f>4626.83+694.02</f>
        <v/>
      </c>
      <c r="K64" s="349">
        <f>4626.83+694.02</f>
        <v/>
      </c>
      <c r="L64" s="349">
        <f>4626.83+694.02</f>
        <v/>
      </c>
      <c r="M64" s="349">
        <f>4626.83+694.02</f>
        <v/>
      </c>
      <c r="N64" s="349">
        <f>4626.83+694.02</f>
        <v/>
      </c>
      <c r="O64" s="349">
        <f>4626.83+694.02</f>
        <v/>
      </c>
      <c r="P64" s="349">
        <f>4626.83+694.02</f>
        <v/>
      </c>
      <c r="Q64" s="349">
        <f>4626.83+694.02</f>
        <v/>
      </c>
      <c r="R64" s="349">
        <f>4626.83+694.02</f>
        <v/>
      </c>
      <c r="S64" s="349">
        <f>4626.83+694.02</f>
        <v/>
      </c>
      <c r="T64" s="349">
        <f>4626.83+694.02</f>
        <v/>
      </c>
      <c r="U64" s="349" t="n"/>
      <c r="V64" s="349" t="n"/>
      <c r="W64" s="349" t="n"/>
      <c r="X64" s="349" t="n"/>
      <c r="Y64" s="349" t="n"/>
      <c r="Z64" s="349" t="n"/>
      <c r="AA64" s="349" t="n"/>
      <c r="AB64" s="349" t="n"/>
      <c r="AC64" s="349" t="n"/>
      <c r="AD64" s="349" t="n"/>
      <c r="AE64" s="349" t="n"/>
      <c r="AF64" s="349" t="n"/>
      <c r="AG64" s="349" t="n"/>
      <c r="AH64" s="349" t="n"/>
      <c r="AI64" s="349" t="n"/>
      <c r="AJ64" s="349" t="n"/>
      <c r="AK64" s="349" t="n"/>
      <c r="AL64" s="349" t="n"/>
      <c r="AM64" s="349" t="n"/>
      <c r="AN64" s="349" t="n"/>
      <c r="AO64" s="349" t="n"/>
      <c r="AP64" s="349" t="n"/>
      <c r="AQ64" s="349" t="n"/>
      <c r="AR64" s="349" t="n"/>
      <c r="AS64" s="349" t="n"/>
      <c r="AT64" s="349" t="n"/>
      <c r="AU64" s="349" t="n"/>
      <c r="AV64" s="349" t="n"/>
      <c r="AW64" s="349" t="n"/>
      <c r="AX64" s="349" t="n"/>
      <c r="AY64" s="349" t="n"/>
      <c r="AZ64" s="349" t="n"/>
      <c r="BA64" s="349" t="n"/>
      <c r="BB64" s="349" t="n"/>
      <c r="BC64" s="349" t="n"/>
      <c r="BD64" s="349" t="n"/>
      <c r="BE64" s="349" t="n"/>
      <c r="BF64" s="349" t="n"/>
      <c r="BG64" s="349" t="n"/>
      <c r="BH64" s="349" t="n"/>
      <c r="BI64" s="349" t="n"/>
      <c r="BJ64" s="349" t="n"/>
      <c r="BK64" s="349" t="n"/>
      <c r="BL64" s="349" t="n"/>
      <c r="BM64" s="350">
        <f>SUM(E64:BL64)</f>
        <v/>
      </c>
    </row>
    <row r="65" ht="13.7" customFormat="1" customHeight="1" s="54">
      <c r="A65" s="48">
        <f>A64+1</f>
        <v/>
      </c>
      <c r="B65" s="286" t="inlineStr">
        <is>
          <t>Marcos Antonio Braga</t>
        </is>
      </c>
      <c r="C65" s="257" t="n"/>
      <c r="D65" s="255" t="n"/>
      <c r="E65" s="349">
        <f>3548.24+638.68</f>
        <v/>
      </c>
      <c r="F65" s="349">
        <f>3548.24+638.68</f>
        <v/>
      </c>
      <c r="G65" s="349">
        <f>3548.24+638.68</f>
        <v/>
      </c>
      <c r="H65" s="349">
        <f>3548.24+638.68</f>
        <v/>
      </c>
      <c r="I65" s="349">
        <f>3548.24+638.68</f>
        <v/>
      </c>
      <c r="J65" s="349">
        <f>3548.24+638.68</f>
        <v/>
      </c>
      <c r="K65" s="349">
        <f>3548.24+638.68</f>
        <v/>
      </c>
      <c r="L65" s="349">
        <f>3548.24+638.68</f>
        <v/>
      </c>
      <c r="M65" s="349">
        <f>3548.24+638.68</f>
        <v/>
      </c>
      <c r="N65" s="349">
        <f>3548.24+638.68</f>
        <v/>
      </c>
      <c r="O65" s="349">
        <f>3548.24+638.68</f>
        <v/>
      </c>
      <c r="P65" s="349">
        <f>3548.24+638.68</f>
        <v/>
      </c>
      <c r="Q65" s="349">
        <f>3548.24+638.68</f>
        <v/>
      </c>
      <c r="R65" s="349">
        <f>3548.24+638.68</f>
        <v/>
      </c>
      <c r="S65" s="349">
        <f>3548.24+638.68</f>
        <v/>
      </c>
      <c r="T65" s="349">
        <f>3548.24+638.68</f>
        <v/>
      </c>
      <c r="U65" s="349" t="n"/>
      <c r="V65" s="349" t="n"/>
      <c r="W65" s="349" t="n"/>
      <c r="X65" s="349" t="n"/>
      <c r="Y65" s="349" t="n"/>
      <c r="Z65" s="349" t="n"/>
      <c r="AA65" s="349" t="n"/>
      <c r="AB65" s="349" t="n"/>
      <c r="AC65" s="349" t="n"/>
      <c r="AD65" s="349" t="n"/>
      <c r="AE65" s="349" t="n"/>
      <c r="AF65" s="349" t="n"/>
      <c r="AG65" s="349" t="n"/>
      <c r="AH65" s="349" t="n"/>
      <c r="AI65" s="349" t="n"/>
      <c r="AJ65" s="349" t="n"/>
      <c r="AK65" s="349" t="n"/>
      <c r="AL65" s="349" t="n"/>
      <c r="AM65" s="349" t="n"/>
      <c r="AN65" s="349" t="n"/>
      <c r="AO65" s="349" t="n"/>
      <c r="AP65" s="349" t="n"/>
      <c r="AQ65" s="349" t="n"/>
      <c r="AR65" s="349" t="n"/>
      <c r="AS65" s="349" t="n"/>
      <c r="AT65" s="349" t="n"/>
      <c r="AU65" s="349" t="n"/>
      <c r="AV65" s="349" t="n"/>
      <c r="AW65" s="349" t="n"/>
      <c r="AX65" s="349" t="n"/>
      <c r="AY65" s="349" t="n"/>
      <c r="AZ65" s="349" t="n"/>
      <c r="BA65" s="349" t="n"/>
      <c r="BB65" s="349" t="n"/>
      <c r="BC65" s="349" t="n"/>
      <c r="BD65" s="349" t="n"/>
      <c r="BE65" s="349" t="n"/>
      <c r="BF65" s="349" t="n"/>
      <c r="BG65" s="349" t="n"/>
      <c r="BH65" s="349" t="n"/>
      <c r="BI65" s="349" t="n"/>
      <c r="BJ65" s="349" t="n"/>
      <c r="BK65" s="349" t="n"/>
      <c r="BL65" s="349" t="n"/>
      <c r="BM65" s="350">
        <f>SUM(E65:BL65)</f>
        <v/>
      </c>
    </row>
    <row r="66" ht="13.7" customFormat="1" customHeight="1" s="54">
      <c r="A66" s="48">
        <f>A65+1</f>
        <v/>
      </c>
      <c r="B66" s="286" t="inlineStr">
        <is>
          <t>Marta Cristiani de Avila Rosa</t>
        </is>
      </c>
      <c r="C66" s="257" t="n"/>
      <c r="D66" s="255" t="n"/>
      <c r="E66" s="349">
        <f>3907.09+351.64</f>
        <v/>
      </c>
      <c r="F66" s="349">
        <f>3907.09+351.64</f>
        <v/>
      </c>
      <c r="G66" s="349">
        <f>3907.09+351.64</f>
        <v/>
      </c>
      <c r="H66" s="349">
        <f>3907.09+351.64</f>
        <v/>
      </c>
      <c r="I66" s="349">
        <f>3907.09+351.64</f>
        <v/>
      </c>
      <c r="J66" s="349">
        <f>3907.09+351.64</f>
        <v/>
      </c>
      <c r="K66" s="349">
        <f>3907.09+351.64</f>
        <v/>
      </c>
      <c r="L66" s="349">
        <f>3907.09+351.64</f>
        <v/>
      </c>
      <c r="M66" s="349">
        <f>3907.09+351.64</f>
        <v/>
      </c>
      <c r="N66" s="349">
        <f>3907.09+351.64</f>
        <v/>
      </c>
      <c r="O66" s="349">
        <f>3907.09+351.64</f>
        <v/>
      </c>
      <c r="P66" s="349">
        <f>3907.09+351.64</f>
        <v/>
      </c>
      <c r="Q66" s="349">
        <f>3907.09+351.64</f>
        <v/>
      </c>
      <c r="R66" s="349">
        <f>3907.09+351.64</f>
        <v/>
      </c>
      <c r="S66" s="349">
        <f>3907.09+351.64</f>
        <v/>
      </c>
      <c r="T66" s="349">
        <f>3907.09+351.64</f>
        <v/>
      </c>
      <c r="U66" s="349" t="n"/>
      <c r="V66" s="349" t="n"/>
      <c r="W66" s="349" t="n"/>
      <c r="X66" s="349" t="n"/>
      <c r="Y66" s="349" t="n"/>
      <c r="Z66" s="349" t="n"/>
      <c r="AA66" s="349" t="n"/>
      <c r="AB66" s="349" t="n"/>
      <c r="AC66" s="349" t="n"/>
      <c r="AD66" s="349" t="n"/>
      <c r="AE66" s="349" t="n"/>
      <c r="AF66" s="349" t="n"/>
      <c r="AG66" s="349" t="n"/>
      <c r="AH66" s="349" t="n"/>
      <c r="AI66" s="349" t="n"/>
      <c r="AJ66" s="349" t="n"/>
      <c r="AK66" s="349" t="n"/>
      <c r="AL66" s="349" t="n"/>
      <c r="AM66" s="349" t="n"/>
      <c r="AN66" s="349" t="n"/>
      <c r="AO66" s="349" t="n"/>
      <c r="AP66" s="349" t="n"/>
      <c r="AQ66" s="349" t="n"/>
      <c r="AR66" s="349" t="n"/>
      <c r="AS66" s="349" t="n"/>
      <c r="AT66" s="349" t="n"/>
      <c r="AU66" s="349" t="n"/>
      <c r="AV66" s="349" t="n"/>
      <c r="AW66" s="349" t="n"/>
      <c r="AX66" s="349" t="n"/>
      <c r="AY66" s="349" t="n"/>
      <c r="AZ66" s="349" t="n"/>
      <c r="BA66" s="349" t="n"/>
      <c r="BB66" s="349" t="n"/>
      <c r="BC66" s="349" t="n"/>
      <c r="BD66" s="349" t="n"/>
      <c r="BE66" s="349" t="n"/>
      <c r="BF66" s="349" t="n"/>
      <c r="BG66" s="349" t="n"/>
      <c r="BH66" s="349" t="n"/>
      <c r="BI66" s="349" t="n"/>
      <c r="BJ66" s="349" t="n"/>
      <c r="BK66" s="349" t="n"/>
      <c r="BL66" s="349" t="n"/>
      <c r="BM66" s="350">
        <f>SUM(E66:BL66)</f>
        <v/>
      </c>
    </row>
    <row r="67" ht="13.7" customFormat="1" customHeight="1" s="54">
      <c r="A67" s="48">
        <f>A66+1</f>
        <v/>
      </c>
      <c r="B67" s="286" t="inlineStr">
        <is>
          <t>Pedro Marques Abdo</t>
        </is>
      </c>
      <c r="C67" s="257" t="n"/>
      <c r="D67" s="255" t="n"/>
      <c r="E67" s="349">
        <f>3943.75+236.62</f>
        <v/>
      </c>
      <c r="F67" s="349">
        <f>3943.75+236.62</f>
        <v/>
      </c>
      <c r="G67" s="349">
        <f>3943.75+236.62</f>
        <v/>
      </c>
      <c r="H67" s="349">
        <f>3943.75+236.62</f>
        <v/>
      </c>
      <c r="I67" s="349">
        <f>3943.75+236.62</f>
        <v/>
      </c>
      <c r="J67" s="349">
        <f>3943.75+236.62</f>
        <v/>
      </c>
      <c r="K67" s="349">
        <f>3943.75+236.62</f>
        <v/>
      </c>
      <c r="L67" s="349">
        <f>3943.75+236.62</f>
        <v/>
      </c>
      <c r="M67" s="349">
        <f>3943.75+236.62</f>
        <v/>
      </c>
      <c r="N67" s="349">
        <f>3943.75+236.62</f>
        <v/>
      </c>
      <c r="O67" s="349">
        <f>3943.75+236.62</f>
        <v/>
      </c>
      <c r="P67" s="349">
        <f>3943.75+236.62</f>
        <v/>
      </c>
      <c r="Q67" s="349">
        <f>3943.75+236.62</f>
        <v/>
      </c>
      <c r="R67" s="349">
        <f>3943.75+236.62</f>
        <v/>
      </c>
      <c r="S67" s="349">
        <f>3943.75+236.62</f>
        <v/>
      </c>
      <c r="T67" s="349">
        <f>3943.75+236.62</f>
        <v/>
      </c>
      <c r="U67" s="349" t="n"/>
      <c r="V67" s="349" t="n"/>
      <c r="W67" s="349" t="n"/>
      <c r="X67" s="349" t="n"/>
      <c r="Y67" s="349" t="n"/>
      <c r="Z67" s="349" t="n"/>
      <c r="AA67" s="349" t="n"/>
      <c r="AB67" s="349" t="n"/>
      <c r="AC67" s="349" t="n"/>
      <c r="AD67" s="349" t="n"/>
      <c r="AE67" s="349" t="n"/>
      <c r="AF67" s="349" t="n"/>
      <c r="AG67" s="349" t="n"/>
      <c r="AH67" s="349" t="n"/>
      <c r="AI67" s="349" t="n"/>
      <c r="AJ67" s="349" t="n"/>
      <c r="AK67" s="349" t="n"/>
      <c r="AL67" s="349" t="n"/>
      <c r="AM67" s="349" t="n"/>
      <c r="AN67" s="349" t="n"/>
      <c r="AO67" s="349" t="n"/>
      <c r="AP67" s="349" t="n"/>
      <c r="AQ67" s="349" t="n"/>
      <c r="AR67" s="349" t="n"/>
      <c r="AS67" s="349" t="n"/>
      <c r="AT67" s="349" t="n"/>
      <c r="AU67" s="349" t="n"/>
      <c r="AV67" s="349" t="n"/>
      <c r="AW67" s="349" t="n"/>
      <c r="AX67" s="349" t="n"/>
      <c r="AY67" s="349" t="n"/>
      <c r="AZ67" s="349" t="n"/>
      <c r="BA67" s="349" t="n"/>
      <c r="BB67" s="349" t="n"/>
      <c r="BC67" s="349" t="n"/>
      <c r="BD67" s="349" t="n"/>
      <c r="BE67" s="349" t="n"/>
      <c r="BF67" s="349" t="n"/>
      <c r="BG67" s="349" t="n"/>
      <c r="BH67" s="349" t="n"/>
      <c r="BI67" s="349" t="n"/>
      <c r="BJ67" s="349" t="n"/>
      <c r="BK67" s="349" t="n"/>
      <c r="BL67" s="349" t="n"/>
      <c r="BM67" s="350">
        <f>SUM(E67:BL67)</f>
        <v/>
      </c>
    </row>
    <row r="68" ht="13.7" customFormat="1" customHeight="1" s="54">
      <c r="A68" s="48">
        <f>A67+1</f>
        <v/>
      </c>
      <c r="B68" s="286" t="inlineStr">
        <is>
          <t>Renilda de Quadros</t>
        </is>
      </c>
      <c r="C68" s="257" t="n"/>
      <c r="D68" s="255" t="n"/>
      <c r="E68" s="349">
        <f>4022.64+603.4</f>
        <v/>
      </c>
      <c r="F68" s="349">
        <f>4022.64+603.4</f>
        <v/>
      </c>
      <c r="G68" s="349">
        <f>4022.64+603.4</f>
        <v/>
      </c>
      <c r="H68" s="349">
        <f>4022.64+603.4</f>
        <v/>
      </c>
      <c r="I68" s="349">
        <f>4022.64+603.4</f>
        <v/>
      </c>
      <c r="J68" s="349">
        <f>4022.64+603.4</f>
        <v/>
      </c>
      <c r="K68" s="349">
        <f>4022.64+603.4</f>
        <v/>
      </c>
      <c r="L68" s="349">
        <f>4022.64+603.4</f>
        <v/>
      </c>
      <c r="M68" s="349">
        <f>4022.64+603.4</f>
        <v/>
      </c>
      <c r="N68" s="349">
        <f>4022.64+603.4</f>
        <v/>
      </c>
      <c r="O68" s="349">
        <f>4022.64+603.4</f>
        <v/>
      </c>
      <c r="P68" s="349">
        <f>4022.64+603.4</f>
        <v/>
      </c>
      <c r="Q68" s="349">
        <f>4022.64+603.4</f>
        <v/>
      </c>
      <c r="R68" s="349">
        <f>4022.64+603.4</f>
        <v/>
      </c>
      <c r="S68" s="349">
        <f>4022.64+603.4</f>
        <v/>
      </c>
      <c r="T68" s="349">
        <f>4022.64+603.4</f>
        <v/>
      </c>
      <c r="U68" s="349" t="n"/>
      <c r="V68" s="349" t="n"/>
      <c r="W68" s="349" t="n"/>
      <c r="X68" s="349" t="n"/>
      <c r="Y68" s="349" t="n"/>
      <c r="Z68" s="349" t="n"/>
      <c r="AA68" s="349" t="n"/>
      <c r="AB68" s="349" t="n"/>
      <c r="AC68" s="349" t="n"/>
      <c r="AD68" s="349" t="n"/>
      <c r="AE68" s="349" t="n"/>
      <c r="AF68" s="349" t="n"/>
      <c r="AG68" s="349" t="n"/>
      <c r="AH68" s="349" t="n"/>
      <c r="AI68" s="349" t="n"/>
      <c r="AJ68" s="349" t="n"/>
      <c r="AK68" s="349" t="n"/>
      <c r="AL68" s="349" t="n"/>
      <c r="AM68" s="349" t="n"/>
      <c r="AN68" s="349" t="n"/>
      <c r="AO68" s="349" t="n"/>
      <c r="AP68" s="349" t="n"/>
      <c r="AQ68" s="349" t="n"/>
      <c r="AR68" s="349" t="n"/>
      <c r="AS68" s="349" t="n"/>
      <c r="AT68" s="349" t="n"/>
      <c r="AU68" s="349" t="n"/>
      <c r="AV68" s="349" t="n"/>
      <c r="AW68" s="349" t="n"/>
      <c r="AX68" s="349" t="n"/>
      <c r="AY68" s="349" t="n"/>
      <c r="AZ68" s="349" t="n"/>
      <c r="BA68" s="349" t="n"/>
      <c r="BB68" s="349" t="n"/>
      <c r="BC68" s="349" t="n"/>
      <c r="BD68" s="349" t="n"/>
      <c r="BE68" s="349" t="n"/>
      <c r="BF68" s="349" t="n"/>
      <c r="BG68" s="349" t="n"/>
      <c r="BH68" s="349" t="n"/>
      <c r="BI68" s="349" t="n"/>
      <c r="BJ68" s="349" t="n"/>
      <c r="BK68" s="349" t="n"/>
      <c r="BL68" s="349" t="n"/>
      <c r="BM68" s="350">
        <f>SUM(E68:BL68)</f>
        <v/>
      </c>
    </row>
    <row r="69" ht="13.7" customFormat="1" customHeight="1" s="54">
      <c r="A69" s="48">
        <f>A68+1</f>
        <v/>
      </c>
      <c r="B69" s="286" t="inlineStr">
        <is>
          <t>Rithyelen Aliny da Silveira</t>
        </is>
      </c>
      <c r="C69" s="257" t="n"/>
      <c r="D69" s="255" t="n"/>
      <c r="E69" s="349">
        <f>3907.09+351.64</f>
        <v/>
      </c>
      <c r="F69" s="349">
        <f>3907.09+351.64</f>
        <v/>
      </c>
      <c r="G69" s="349">
        <f>3907.09+351.64</f>
        <v/>
      </c>
      <c r="H69" s="349">
        <f>3907.09+351.64</f>
        <v/>
      </c>
      <c r="I69" s="349">
        <f>3907.09+351.64</f>
        <v/>
      </c>
      <c r="J69" s="349">
        <f>3907.09+351.64</f>
        <v/>
      </c>
      <c r="K69" s="349">
        <f>3907.09+351.64</f>
        <v/>
      </c>
      <c r="L69" s="349">
        <f>3907.09+351.64</f>
        <v/>
      </c>
      <c r="M69" s="349">
        <f>3907.09+351.64</f>
        <v/>
      </c>
      <c r="N69" s="349">
        <f>3907.09+351.64</f>
        <v/>
      </c>
      <c r="O69" s="349">
        <f>3907.09+351.64</f>
        <v/>
      </c>
      <c r="P69" s="349">
        <f>3907.09+351.64</f>
        <v/>
      </c>
      <c r="Q69" s="349">
        <f>3907.09+351.64</f>
        <v/>
      </c>
      <c r="R69" s="349">
        <f>3907.09+351.64</f>
        <v/>
      </c>
      <c r="S69" s="349">
        <f>3907.09+351.64</f>
        <v/>
      </c>
      <c r="T69" s="349">
        <f>3907.09+351.64</f>
        <v/>
      </c>
      <c r="U69" s="349" t="n"/>
      <c r="V69" s="349" t="n"/>
      <c r="W69" s="349" t="n"/>
      <c r="X69" s="349" t="n"/>
      <c r="Y69" s="349" t="n"/>
      <c r="Z69" s="349" t="n"/>
      <c r="AA69" s="349" t="n"/>
      <c r="AB69" s="349" t="n"/>
      <c r="AC69" s="349" t="n"/>
      <c r="AD69" s="349" t="n"/>
      <c r="AE69" s="349" t="n"/>
      <c r="AF69" s="349" t="n"/>
      <c r="AG69" s="349" t="n"/>
      <c r="AH69" s="349" t="n"/>
      <c r="AI69" s="349" t="n"/>
      <c r="AJ69" s="349" t="n"/>
      <c r="AK69" s="349" t="n"/>
      <c r="AL69" s="349" t="n"/>
      <c r="AM69" s="349" t="n"/>
      <c r="AN69" s="349" t="n"/>
      <c r="AO69" s="349" t="n"/>
      <c r="AP69" s="349" t="n"/>
      <c r="AQ69" s="349" t="n"/>
      <c r="AR69" s="349" t="n"/>
      <c r="AS69" s="349" t="n"/>
      <c r="AT69" s="349" t="n"/>
      <c r="AU69" s="349" t="n"/>
      <c r="AV69" s="349" t="n"/>
      <c r="AW69" s="349" t="n"/>
      <c r="AX69" s="349" t="n"/>
      <c r="AY69" s="349" t="n"/>
      <c r="AZ69" s="349" t="n"/>
      <c r="BA69" s="349" t="n"/>
      <c r="BB69" s="349" t="n"/>
      <c r="BC69" s="349" t="n"/>
      <c r="BD69" s="349" t="n"/>
      <c r="BE69" s="349" t="n"/>
      <c r="BF69" s="349" t="n"/>
      <c r="BG69" s="349" t="n"/>
      <c r="BH69" s="349" t="n"/>
      <c r="BI69" s="349" t="n"/>
      <c r="BJ69" s="349" t="n"/>
      <c r="BK69" s="349" t="n"/>
      <c r="BL69" s="349" t="n"/>
      <c r="BM69" s="350">
        <f>SUM(E69:BL69)</f>
        <v/>
      </c>
    </row>
    <row r="70" ht="13.7" customFormat="1" customHeight="1" s="54">
      <c r="A70" s="48">
        <f>A69+1</f>
        <v/>
      </c>
      <c r="B70" s="286" t="inlineStr">
        <is>
          <t>Thiago de Almeida Rebollo</t>
        </is>
      </c>
      <c r="C70" s="257" t="n"/>
      <c r="D70" s="255" t="n"/>
      <c r="E70" s="349" t="n">
        <v>3550.24</v>
      </c>
      <c r="F70" s="349" t="n">
        <v>3551.24</v>
      </c>
      <c r="G70" s="349" t="n">
        <v>3552.24</v>
      </c>
      <c r="H70" s="349" t="n">
        <v>3553.24</v>
      </c>
      <c r="I70" s="349" t="n">
        <v>3554.24</v>
      </c>
      <c r="J70" s="349" t="n">
        <v>3555.24</v>
      </c>
      <c r="K70" s="349" t="n">
        <v>3556.24</v>
      </c>
      <c r="L70" s="349" t="n">
        <v>3557.24</v>
      </c>
      <c r="M70" s="349" t="n">
        <v>3558.24</v>
      </c>
      <c r="N70" s="349" t="n">
        <v>3559.24</v>
      </c>
      <c r="O70" s="349" t="n">
        <v>3560.24</v>
      </c>
      <c r="P70" s="349" t="n">
        <v>3561.24</v>
      </c>
      <c r="Q70" s="349" t="n">
        <v>3562.24</v>
      </c>
      <c r="R70" s="349" t="n">
        <v>3563.24</v>
      </c>
      <c r="S70" s="349" t="n">
        <v>3564.24</v>
      </c>
      <c r="T70" s="349" t="n">
        <v>3565.24</v>
      </c>
      <c r="U70" s="349" t="n"/>
      <c r="V70" s="349" t="n"/>
      <c r="W70" s="349" t="n"/>
      <c r="X70" s="349" t="n"/>
      <c r="Y70" s="349" t="n"/>
      <c r="Z70" s="349" t="n"/>
      <c r="AA70" s="349" t="n"/>
      <c r="AB70" s="349" t="n"/>
      <c r="AC70" s="349" t="n"/>
      <c r="AD70" s="349" t="n"/>
      <c r="AE70" s="349" t="n"/>
      <c r="AF70" s="349" t="n"/>
      <c r="AG70" s="349" t="n"/>
      <c r="AH70" s="349" t="n"/>
      <c r="AI70" s="349" t="n"/>
      <c r="AJ70" s="349" t="n"/>
      <c r="AK70" s="349" t="n"/>
      <c r="AL70" s="349" t="n"/>
      <c r="AM70" s="349" t="n"/>
      <c r="AN70" s="349" t="n"/>
      <c r="AO70" s="349" t="n"/>
      <c r="AP70" s="349" t="n"/>
      <c r="AQ70" s="349" t="n"/>
      <c r="AR70" s="349" t="n"/>
      <c r="AS70" s="349" t="n"/>
      <c r="AT70" s="349" t="n"/>
      <c r="AU70" s="349" t="n"/>
      <c r="AV70" s="349" t="n"/>
      <c r="AW70" s="349" t="n"/>
      <c r="AX70" s="349" t="n"/>
      <c r="AY70" s="349" t="n"/>
      <c r="AZ70" s="349" t="n"/>
      <c r="BA70" s="349" t="n"/>
      <c r="BB70" s="349" t="n"/>
      <c r="BC70" s="349" t="n"/>
      <c r="BD70" s="349" t="n"/>
      <c r="BE70" s="349" t="n"/>
      <c r="BF70" s="349" t="n"/>
      <c r="BG70" s="349" t="n"/>
      <c r="BH70" s="349" t="n"/>
      <c r="BI70" s="349" t="n"/>
      <c r="BJ70" s="349" t="n"/>
      <c r="BK70" s="349" t="n"/>
      <c r="BL70" s="349" t="n"/>
      <c r="BM70" s="350">
        <f>SUM(E70:BL70)</f>
        <v/>
      </c>
    </row>
    <row r="71" ht="13.7" customFormat="1" customHeight="1" s="54">
      <c r="A71" s="48">
        <f>A70+1</f>
        <v/>
      </c>
      <c r="B71" s="277" t="inlineStr">
        <is>
          <t>Encargos Trabalhistas</t>
        </is>
      </c>
      <c r="C71" s="257" t="n"/>
      <c r="D71" s="255" t="n"/>
      <c r="E71" s="349">
        <f>SUM(E5:E70)*36.5%</f>
        <v/>
      </c>
      <c r="F71" s="349">
        <f>SUM(F5:F70)*36.5%</f>
        <v/>
      </c>
      <c r="G71" s="349">
        <f>SUM(G5:G70)*36.5%</f>
        <v/>
      </c>
      <c r="H71" s="349">
        <f>SUM(H5:H70)*36.5%</f>
        <v/>
      </c>
      <c r="I71" s="349">
        <f>SUM(I5:I70)*36.5%</f>
        <v/>
      </c>
      <c r="J71" s="349">
        <f>SUM(J5:J70)*36.5%</f>
        <v/>
      </c>
      <c r="K71" s="349">
        <f>SUM(K5:K70)*36.5%</f>
        <v/>
      </c>
      <c r="L71" s="349">
        <f>SUM(L5:L70)*36.5%</f>
        <v/>
      </c>
      <c r="M71" s="349">
        <f>SUM(M5:M70)*36.5%</f>
        <v/>
      </c>
      <c r="N71" s="349">
        <f>SUM(N5:N70)*36.5%</f>
        <v/>
      </c>
      <c r="O71" s="349">
        <f>SUM(O5:O70)*36.5%</f>
        <v/>
      </c>
      <c r="P71" s="349">
        <f>SUM(P5:P70)*36.5%</f>
        <v/>
      </c>
      <c r="Q71" s="349">
        <f>SUM(Q5:Q70)*36.5%</f>
        <v/>
      </c>
      <c r="R71" s="349">
        <f>SUM(R5:R70)*36.5%</f>
        <v/>
      </c>
      <c r="S71" s="349">
        <f>SUM(S5:S70)*36.5%</f>
        <v/>
      </c>
      <c r="T71" s="349">
        <f>SUM(T5:T70)*36.5%</f>
        <v/>
      </c>
      <c r="U71" s="349">
        <f>SUM(U5:U70)*36.5%</f>
        <v/>
      </c>
      <c r="V71" s="349">
        <f>SUM(V5:V70)*36.5%</f>
        <v/>
      </c>
      <c r="W71" s="349">
        <f>SUM(W5:W70)*36.5%</f>
        <v/>
      </c>
      <c r="X71" s="349">
        <f>SUM(X5:X70)*36.5%</f>
        <v/>
      </c>
      <c r="Y71" s="349">
        <f>SUM(Y5:Y70)*36.5%</f>
        <v/>
      </c>
      <c r="Z71" s="349">
        <f>SUM(Z5:Z70)*36.5%</f>
        <v/>
      </c>
      <c r="AA71" s="349">
        <f>SUM(AA5:AA70)*36.5%</f>
        <v/>
      </c>
      <c r="AB71" s="349">
        <f>SUM(AB5:AB70)*36.5%</f>
        <v/>
      </c>
      <c r="AC71" s="349">
        <f>SUM(AC5:AC70)*36.5%</f>
        <v/>
      </c>
      <c r="AD71" s="349">
        <f>SUM(AD5:AD70)*36.5%</f>
        <v/>
      </c>
      <c r="AE71" s="349">
        <f>SUM(AE5:AE70)*36.5%</f>
        <v/>
      </c>
      <c r="AF71" s="349">
        <f>SUM(AF5:AF70)*36.5%</f>
        <v/>
      </c>
      <c r="AG71" s="349">
        <f>SUM(AG5:AG70)*36.5%</f>
        <v/>
      </c>
      <c r="AH71" s="349">
        <f>SUM(AH5:AH70)*36.5%</f>
        <v/>
      </c>
      <c r="AI71" s="349">
        <f>SUM(AI5:AI70)*36.5%</f>
        <v/>
      </c>
      <c r="AJ71" s="349">
        <f>SUM(AJ5:AJ70)*36.5%</f>
        <v/>
      </c>
      <c r="AK71" s="349">
        <f>SUM(AK5:AK70)*36.5%</f>
        <v/>
      </c>
      <c r="AL71" s="349">
        <f>SUM(AL5:AL70)*36.5%</f>
        <v/>
      </c>
      <c r="AM71" s="349">
        <f>SUM(AM5:AM70)*36.5%</f>
        <v/>
      </c>
      <c r="AN71" s="349">
        <f>SUM(AN5:AN70)*36.5%</f>
        <v/>
      </c>
      <c r="AO71" s="349">
        <f>SUM(AO5:AO70)*36.5%</f>
        <v/>
      </c>
      <c r="AP71" s="349">
        <f>SUM(AP5:AP70)*36.5%</f>
        <v/>
      </c>
      <c r="AQ71" s="349">
        <f>SUM(AQ5:AQ70)*36.5%</f>
        <v/>
      </c>
      <c r="AR71" s="349">
        <f>SUM(AR5:AR70)*36.5%</f>
        <v/>
      </c>
      <c r="AS71" s="349">
        <f>SUM(AS5:AS70)*36.5%</f>
        <v/>
      </c>
      <c r="AT71" s="349">
        <f>SUM(AT5:AT70)*36.5%</f>
        <v/>
      </c>
      <c r="AU71" s="349">
        <f>SUM(AU5:AU70)*36.5%</f>
        <v/>
      </c>
      <c r="AV71" s="349">
        <f>SUM(AV5:AV70)*36.5%</f>
        <v/>
      </c>
      <c r="AW71" s="349">
        <f>SUM(AW5:AW70)*36.5%</f>
        <v/>
      </c>
      <c r="AX71" s="349">
        <f>SUM(AX5:AX70)*36.5%</f>
        <v/>
      </c>
      <c r="AY71" s="349">
        <f>SUM(AY5:AY70)*36.5%</f>
        <v/>
      </c>
      <c r="AZ71" s="349">
        <f>SUM(AZ5:AZ70)*36.5%</f>
        <v/>
      </c>
      <c r="BA71" s="349">
        <f>SUM(BA5:BA70)*36.5%</f>
        <v/>
      </c>
      <c r="BB71" s="349">
        <f>SUM(BB5:BB70)*36.5%</f>
        <v/>
      </c>
      <c r="BC71" s="349">
        <f>SUM(BC5:BC70)*36.5%</f>
        <v/>
      </c>
      <c r="BD71" s="349">
        <f>SUM(BD5:BD70)*36.5%</f>
        <v/>
      </c>
      <c r="BE71" s="349">
        <f>SUM(BE5:BE70)*36.5%</f>
        <v/>
      </c>
      <c r="BF71" s="349">
        <f>SUM(BF5:BF70)*36.5%</f>
        <v/>
      </c>
      <c r="BG71" s="349">
        <f>SUM(BG5:BG70)*36.5%</f>
        <v/>
      </c>
      <c r="BH71" s="349">
        <f>SUM(BH5:BH70)*36.5%</f>
        <v/>
      </c>
      <c r="BI71" s="349">
        <f>SUM(BI5:BI70)*36.5%</f>
        <v/>
      </c>
      <c r="BJ71" s="349">
        <f>SUM(BJ5:BJ70)*36.5%</f>
        <v/>
      </c>
      <c r="BK71" s="349">
        <f>SUM(BK5:BK70)*36.5%</f>
        <v/>
      </c>
      <c r="BL71" s="349">
        <f>SUM(BL5:BL70)*36.5%</f>
        <v/>
      </c>
      <c r="BM71" s="350">
        <f>SUM(E71:BL71)</f>
        <v/>
      </c>
    </row>
    <row r="72" ht="13.7" customFormat="1" customHeight="1" s="54">
      <c r="A72" s="48">
        <f>A71+1</f>
        <v/>
      </c>
      <c r="B72" s="277" t="inlineStr">
        <is>
          <t>Provisão</t>
        </is>
      </c>
      <c r="C72" s="257" t="n"/>
      <c r="D72" s="255" t="n"/>
      <c r="E72" s="349">
        <f>SUM(E5:E39)*0.4</f>
        <v/>
      </c>
      <c r="F72" s="349">
        <f>SUM(F5:F39)*0.4</f>
        <v/>
      </c>
      <c r="G72" s="349">
        <f>SUM(G5:G39)*0.4</f>
        <v/>
      </c>
      <c r="H72" s="349">
        <f>SUM(H5:H39)*0.4</f>
        <v/>
      </c>
      <c r="I72" s="349">
        <f>SUM(I5:I39)*0.4</f>
        <v/>
      </c>
      <c r="J72" s="349">
        <f>SUM(J5:J39)*0.4</f>
        <v/>
      </c>
      <c r="K72" s="349">
        <f>SUM(K5:K39)*0.4</f>
        <v/>
      </c>
      <c r="L72" s="349">
        <f>SUM(L5:L39)*0.4</f>
        <v/>
      </c>
      <c r="M72" s="349">
        <f>SUM(M5:M39)*0.4</f>
        <v/>
      </c>
      <c r="N72" s="349">
        <f>SUM(N5:N39)*0.4</f>
        <v/>
      </c>
      <c r="O72" s="349">
        <f>SUM(O5:O39)*0.4</f>
        <v/>
      </c>
      <c r="P72" s="349">
        <f>SUM(P5:P39)*0.4</f>
        <v/>
      </c>
      <c r="Q72" s="349">
        <f>SUM(Q5:Q39)*0.4</f>
        <v/>
      </c>
      <c r="R72" s="349">
        <f>SUM(R5:R39)*0.4</f>
        <v/>
      </c>
      <c r="S72" s="349">
        <f>SUM(S5:S39)*0.4</f>
        <v/>
      </c>
      <c r="T72" s="349">
        <f>SUM(T5:T39)*0.4</f>
        <v/>
      </c>
      <c r="U72" s="349">
        <f>SUM(U5:U39)*0.4</f>
        <v/>
      </c>
      <c r="V72" s="349">
        <f>SUM(V5:V39)*0.4</f>
        <v/>
      </c>
      <c r="W72" s="349">
        <f>SUM(W5:W39)*0.4</f>
        <v/>
      </c>
      <c r="X72" s="349">
        <f>SUM(X5:X39)*0.4</f>
        <v/>
      </c>
      <c r="Y72" s="349">
        <f>SUM(Y5:Y39)*0.4</f>
        <v/>
      </c>
      <c r="Z72" s="349">
        <f>SUM(Z5:Z39)*0.4</f>
        <v/>
      </c>
      <c r="AA72" s="349">
        <f>SUM(AA5:AA39)*0.4</f>
        <v/>
      </c>
      <c r="AB72" s="349">
        <f>SUM(AB5:AB39)*0.4</f>
        <v/>
      </c>
      <c r="AC72" s="349">
        <f>SUM(AC5:AC39)*0.4</f>
        <v/>
      </c>
      <c r="AD72" s="349">
        <f>SUM(AD5:AD39)*0.4</f>
        <v/>
      </c>
      <c r="AE72" s="349">
        <f>SUM(AE5:AE39)*0.4</f>
        <v/>
      </c>
      <c r="AF72" s="349">
        <f>SUM(AF5:AF39)*0.4</f>
        <v/>
      </c>
      <c r="AG72" s="349">
        <f>SUM(AG5:AG39)*0.4</f>
        <v/>
      </c>
      <c r="AH72" s="349">
        <f>SUM(AH5:AH39)*0.4</f>
        <v/>
      </c>
      <c r="AI72" s="349">
        <f>SUM(AI5:AI39)*0.4</f>
        <v/>
      </c>
      <c r="AJ72" s="349">
        <f>SUM(AJ5:AJ39)*0.4</f>
        <v/>
      </c>
      <c r="AK72" s="349">
        <f>SUM(AK5:AK39)*0.4</f>
        <v/>
      </c>
      <c r="AL72" s="349">
        <f>SUM(AL5:AL39)*0.4</f>
        <v/>
      </c>
      <c r="AM72" s="349">
        <f>SUM(AM5:AM39)*0.4</f>
        <v/>
      </c>
      <c r="AN72" s="349">
        <f>SUM(AN5:AN39)*0.4</f>
        <v/>
      </c>
      <c r="AO72" s="349">
        <f>SUM(AO5:AO39)*0.4</f>
        <v/>
      </c>
      <c r="AP72" s="349">
        <f>SUM(AP5:AP39)*0.4</f>
        <v/>
      </c>
      <c r="AQ72" s="349">
        <f>SUM(AQ5:AQ39)*0.4</f>
        <v/>
      </c>
      <c r="AR72" s="349">
        <f>SUM(AR5:AR39)*0.4</f>
        <v/>
      </c>
      <c r="AS72" s="349">
        <f>SUM(AS5:AS39)*0.4</f>
        <v/>
      </c>
      <c r="AT72" s="349">
        <f>SUM(AT5:AT39)*0.4</f>
        <v/>
      </c>
      <c r="AU72" s="349">
        <f>SUM(AU5:AU39)*0.4</f>
        <v/>
      </c>
      <c r="AV72" s="349">
        <f>SUM(AV5:AV39)*0.4</f>
        <v/>
      </c>
      <c r="AW72" s="349">
        <f>SUM(AW5:AW39)*0.4</f>
        <v/>
      </c>
      <c r="AX72" s="349">
        <f>SUM(AX5:AX39)*0.4</f>
        <v/>
      </c>
      <c r="AY72" s="349">
        <f>SUM(AY5:AY39)*0.4</f>
        <v/>
      </c>
      <c r="AZ72" s="349">
        <f>SUM(AZ5:AZ39)*0.4</f>
        <v/>
      </c>
      <c r="BA72" s="349">
        <f>SUM(BA5:BA39)*0.4</f>
        <v/>
      </c>
      <c r="BB72" s="349">
        <f>SUM(BB5:BB39)*0.4</f>
        <v/>
      </c>
      <c r="BC72" s="349">
        <f>SUM(BC5:BC39)*0.4</f>
        <v/>
      </c>
      <c r="BD72" s="349">
        <f>SUM(BD5:BD39)*0.4</f>
        <v/>
      </c>
      <c r="BE72" s="349">
        <f>SUM(BE5:BE39)*0.4</f>
        <v/>
      </c>
      <c r="BF72" s="349">
        <f>SUM(BF5:BF39)*0.4</f>
        <v/>
      </c>
      <c r="BG72" s="349">
        <f>SUM(BG5:BG39)*0.4</f>
        <v/>
      </c>
      <c r="BH72" s="349">
        <f>SUM(BH5:BH39)*0.4</f>
        <v/>
      </c>
      <c r="BI72" s="349">
        <f>SUM(BI5:BI39)*0.4</f>
        <v/>
      </c>
      <c r="BJ72" s="349">
        <f>SUM(BJ5:BJ39)*0.4</f>
        <v/>
      </c>
      <c r="BK72" s="349">
        <f>SUM(BK5:BK39)*0.4</f>
        <v/>
      </c>
      <c r="BL72" s="349">
        <f>SUM(BL5:BL39)*0.4</f>
        <v/>
      </c>
      <c r="BM72" s="350">
        <f>SUM(E72:BL72)</f>
        <v/>
      </c>
    </row>
    <row r="73" ht="13.7" customFormat="1" customHeight="1" s="54">
      <c r="A73" s="48">
        <f>A72+1</f>
        <v/>
      </c>
      <c r="B73" s="277" t="inlineStr">
        <is>
          <t>Auxilio Alimentação</t>
        </is>
      </c>
      <c r="C73" s="257" t="n"/>
      <c r="D73" s="255" t="n"/>
      <c r="E73" s="349">
        <f>$A$39*1100</f>
        <v/>
      </c>
      <c r="F73" s="349">
        <f>$A$39*1100</f>
        <v/>
      </c>
      <c r="G73" s="349">
        <f>$A$39*1100</f>
        <v/>
      </c>
      <c r="H73" s="349">
        <f>$A$39*1100</f>
        <v/>
      </c>
      <c r="I73" s="349">
        <f>$A$39*1100</f>
        <v/>
      </c>
      <c r="J73" s="349">
        <f>$A$39*1100</f>
        <v/>
      </c>
      <c r="K73" s="349">
        <f>$A$39*1100</f>
        <v/>
      </c>
      <c r="L73" s="349">
        <f>$A$39*1100</f>
        <v/>
      </c>
      <c r="M73" s="349">
        <f>$A$39*1100</f>
        <v/>
      </c>
      <c r="N73" s="349">
        <f>$A$39*1100</f>
        <v/>
      </c>
      <c r="O73" s="349">
        <f>$A$39*1100</f>
        <v/>
      </c>
      <c r="P73" s="349">
        <f>$A$39*1100</f>
        <v/>
      </c>
      <c r="Q73" s="349">
        <f>$A$39*1100</f>
        <v/>
      </c>
      <c r="R73" s="349">
        <f>$A$39*1100</f>
        <v/>
      </c>
      <c r="S73" s="349">
        <f>$A$39*1100</f>
        <v/>
      </c>
      <c r="T73" s="349">
        <f>$A$39*1100</f>
        <v/>
      </c>
      <c r="U73" s="349">
        <f>$A$39*1100</f>
        <v/>
      </c>
      <c r="V73" s="349">
        <f>$A$39*1100</f>
        <v/>
      </c>
      <c r="W73" s="349">
        <f>$A$39*1100</f>
        <v/>
      </c>
      <c r="X73" s="349">
        <f>$A$39*1100</f>
        <v/>
      </c>
      <c r="Y73" s="349">
        <f>$A$39*1100</f>
        <v/>
      </c>
      <c r="Z73" s="349">
        <f>$A$39*1100</f>
        <v/>
      </c>
      <c r="AA73" s="349">
        <f>$A$39*1100</f>
        <v/>
      </c>
      <c r="AB73" s="349">
        <f>$A$39*1100</f>
        <v/>
      </c>
      <c r="AC73" s="349">
        <f>$A$39*1100</f>
        <v/>
      </c>
      <c r="AD73" s="349">
        <f>$A$39*1100</f>
        <v/>
      </c>
      <c r="AE73" s="349">
        <f>$A$39*1100</f>
        <v/>
      </c>
      <c r="AF73" s="349">
        <f>$A$39*1100</f>
        <v/>
      </c>
      <c r="AG73" s="349">
        <f>$A$39*1100</f>
        <v/>
      </c>
      <c r="AH73" s="349">
        <f>$A$39*1100</f>
        <v/>
      </c>
      <c r="AI73" s="349">
        <f>$A$39*1100</f>
        <v/>
      </c>
      <c r="AJ73" s="349">
        <f>$A$39*1100</f>
        <v/>
      </c>
      <c r="AK73" s="349">
        <f>$A$39*1100</f>
        <v/>
      </c>
      <c r="AL73" s="349">
        <f>$A$39*1100</f>
        <v/>
      </c>
      <c r="AM73" s="349">
        <f>$A$39*1100</f>
        <v/>
      </c>
      <c r="AN73" s="349">
        <f>$A$39*1100</f>
        <v/>
      </c>
      <c r="AO73" s="349">
        <f>$A$39*1100</f>
        <v/>
      </c>
      <c r="AP73" s="349">
        <f>$A$39*1100</f>
        <v/>
      </c>
      <c r="AQ73" s="349">
        <f>$A$39*1100</f>
        <v/>
      </c>
      <c r="AR73" s="349">
        <f>$A$39*1100</f>
        <v/>
      </c>
      <c r="AS73" s="349">
        <f>$A$39*1100</f>
        <v/>
      </c>
      <c r="AT73" s="349">
        <f>$A$39*1100</f>
        <v/>
      </c>
      <c r="AU73" s="349">
        <f>$A$39*1100</f>
        <v/>
      </c>
      <c r="AV73" s="349">
        <f>$A$39*1100</f>
        <v/>
      </c>
      <c r="AW73" s="349">
        <f>$A$39*1100</f>
        <v/>
      </c>
      <c r="AX73" s="349">
        <f>$A$39*1100</f>
        <v/>
      </c>
      <c r="AY73" s="349">
        <f>$A$39*1100</f>
        <v/>
      </c>
      <c r="AZ73" s="349">
        <f>$A$39*1100</f>
        <v/>
      </c>
      <c r="BA73" s="349">
        <f>$A$39*1100</f>
        <v/>
      </c>
      <c r="BB73" s="349">
        <f>$A$39*1100</f>
        <v/>
      </c>
      <c r="BC73" s="349">
        <f>$A$39*1100</f>
        <v/>
      </c>
      <c r="BD73" s="349">
        <f>$A$39*1100</f>
        <v/>
      </c>
      <c r="BE73" s="349">
        <f>$A$39*1100</f>
        <v/>
      </c>
      <c r="BF73" s="349">
        <f>$A$39*1100</f>
        <v/>
      </c>
      <c r="BG73" s="349">
        <f>$A$39*1100</f>
        <v/>
      </c>
      <c r="BH73" s="349">
        <f>$A$39*1100</f>
        <v/>
      </c>
      <c r="BI73" s="349">
        <f>$A$39*1100</f>
        <v/>
      </c>
      <c r="BJ73" s="349">
        <f>$A$39*1100</f>
        <v/>
      </c>
      <c r="BK73" s="349">
        <f>$A$39*1100</f>
        <v/>
      </c>
      <c r="BL73" s="349">
        <f>$A$39*1100</f>
        <v/>
      </c>
      <c r="BM73" s="350">
        <f>SUM(E73:BL73)</f>
        <v/>
      </c>
      <c r="BN73" s="385">
        <f>SUM(BM5:BM73)</f>
        <v/>
      </c>
    </row>
    <row r="74" ht="13.7" customFormat="1" customHeight="1" s="54">
      <c r="A74" s="48">
        <f>A73+1</f>
        <v/>
      </c>
      <c r="B74" s="277" t="inlineStr">
        <is>
          <t>Bolsista</t>
        </is>
      </c>
      <c r="C74" s="257" t="n"/>
      <c r="D74" s="255" t="n"/>
      <c r="E74" s="349" t="n">
        <v>58000</v>
      </c>
      <c r="F74" s="349">
        <f>E74</f>
        <v/>
      </c>
      <c r="G74" s="349">
        <f>F74</f>
        <v/>
      </c>
      <c r="H74" s="349">
        <f>G74</f>
        <v/>
      </c>
      <c r="I74" s="349">
        <f>H74</f>
        <v/>
      </c>
      <c r="J74" s="349">
        <f>I74</f>
        <v/>
      </c>
      <c r="K74" s="349">
        <f>J74</f>
        <v/>
      </c>
      <c r="L74" s="349">
        <f>K74</f>
        <v/>
      </c>
      <c r="M74" s="349">
        <f>L74</f>
        <v/>
      </c>
      <c r="N74" s="349">
        <f>M74</f>
        <v/>
      </c>
      <c r="O74" s="349">
        <f>N74</f>
        <v/>
      </c>
      <c r="P74" s="349">
        <f>O74</f>
        <v/>
      </c>
      <c r="Q74" s="349">
        <f>P74</f>
        <v/>
      </c>
      <c r="R74" s="349">
        <f>Q74</f>
        <v/>
      </c>
      <c r="S74" s="349">
        <f>R74</f>
        <v/>
      </c>
      <c r="T74" s="349">
        <f>S74</f>
        <v/>
      </c>
      <c r="U74" s="349">
        <f>T74</f>
        <v/>
      </c>
      <c r="V74" s="349">
        <f>U74</f>
        <v/>
      </c>
      <c r="W74" s="349">
        <f>V74</f>
        <v/>
      </c>
      <c r="X74" s="349">
        <f>W74</f>
        <v/>
      </c>
      <c r="Y74" s="349">
        <f>X74</f>
        <v/>
      </c>
      <c r="Z74" s="349">
        <f>Y74</f>
        <v/>
      </c>
      <c r="AA74" s="349">
        <f>Z74</f>
        <v/>
      </c>
      <c r="AB74" s="349">
        <f>AA74</f>
        <v/>
      </c>
      <c r="AC74" s="349">
        <f>AB74</f>
        <v/>
      </c>
      <c r="AD74" s="349">
        <f>AC74</f>
        <v/>
      </c>
      <c r="AE74" s="349">
        <f>AD74</f>
        <v/>
      </c>
      <c r="AF74" s="349">
        <f>AE74</f>
        <v/>
      </c>
      <c r="AG74" s="349">
        <f>AF74</f>
        <v/>
      </c>
      <c r="AH74" s="349">
        <f>AG74</f>
        <v/>
      </c>
      <c r="AI74" s="349">
        <f>AH74</f>
        <v/>
      </c>
      <c r="AJ74" s="349">
        <f>AI74</f>
        <v/>
      </c>
      <c r="AK74" s="349">
        <f>AJ74</f>
        <v/>
      </c>
      <c r="AL74" s="349">
        <f>AK74</f>
        <v/>
      </c>
      <c r="AM74" s="349">
        <f>AL74</f>
        <v/>
      </c>
      <c r="AN74" s="349">
        <f>AM74</f>
        <v/>
      </c>
      <c r="AO74" s="349">
        <f>AN74</f>
        <v/>
      </c>
      <c r="AP74" s="349">
        <f>AO74</f>
        <v/>
      </c>
      <c r="AQ74" s="349">
        <f>AP74</f>
        <v/>
      </c>
      <c r="AR74" s="349">
        <f>AQ74</f>
        <v/>
      </c>
      <c r="AS74" s="349">
        <f>AR74</f>
        <v/>
      </c>
      <c r="AT74" s="349">
        <f>AS74</f>
        <v/>
      </c>
      <c r="AU74" s="349">
        <f>AT74</f>
        <v/>
      </c>
      <c r="AV74" s="349">
        <f>AU74</f>
        <v/>
      </c>
      <c r="AW74" s="349">
        <f>AV74</f>
        <v/>
      </c>
      <c r="AX74" s="349">
        <f>AW74</f>
        <v/>
      </c>
      <c r="AY74" s="349">
        <f>AX74</f>
        <v/>
      </c>
      <c r="AZ74" s="349">
        <f>AY74</f>
        <v/>
      </c>
      <c r="BA74" s="349">
        <f>AZ74</f>
        <v/>
      </c>
      <c r="BB74" s="349">
        <f>BA74</f>
        <v/>
      </c>
      <c r="BC74" s="349">
        <f>BB74</f>
        <v/>
      </c>
      <c r="BD74" s="349">
        <f>BC74</f>
        <v/>
      </c>
      <c r="BE74" s="349">
        <f>BD74</f>
        <v/>
      </c>
      <c r="BF74" s="349">
        <f>BE74</f>
        <v/>
      </c>
      <c r="BG74" s="349">
        <f>BF74</f>
        <v/>
      </c>
      <c r="BH74" s="349">
        <f>BG74</f>
        <v/>
      </c>
      <c r="BI74" s="349">
        <f>BH74</f>
        <v/>
      </c>
      <c r="BJ74" s="349">
        <f>BI74</f>
        <v/>
      </c>
      <c r="BK74" s="349">
        <f>BJ74</f>
        <v/>
      </c>
      <c r="BL74" s="349">
        <f>BK74</f>
        <v/>
      </c>
      <c r="BM74" s="350">
        <f>SUM(E74:BL74)</f>
        <v/>
      </c>
    </row>
    <row r="75" ht="13.7" customFormat="1" customHeight="1" s="54">
      <c r="A75" s="48">
        <f>A74+1</f>
        <v/>
      </c>
      <c r="B75" s="277" t="inlineStr">
        <is>
          <t>Bolsista</t>
        </is>
      </c>
      <c r="C75" s="257" t="n"/>
      <c r="D75" s="255" t="n"/>
      <c r="E75" s="349">
        <f>E74</f>
        <v/>
      </c>
      <c r="F75" s="349">
        <f>E75</f>
        <v/>
      </c>
      <c r="G75" s="349">
        <f>F75</f>
        <v/>
      </c>
      <c r="H75" s="349">
        <f>G75</f>
        <v/>
      </c>
      <c r="I75" s="349">
        <f>H75</f>
        <v/>
      </c>
      <c r="J75" s="349">
        <f>I75</f>
        <v/>
      </c>
      <c r="K75" s="349">
        <f>J75</f>
        <v/>
      </c>
      <c r="L75" s="349">
        <f>K75</f>
        <v/>
      </c>
      <c r="M75" s="349">
        <f>L75</f>
        <v/>
      </c>
      <c r="N75" s="349">
        <f>M75</f>
        <v/>
      </c>
      <c r="O75" s="349">
        <f>N75</f>
        <v/>
      </c>
      <c r="P75" s="349">
        <f>O75</f>
        <v/>
      </c>
      <c r="Q75" s="349">
        <f>P75</f>
        <v/>
      </c>
      <c r="R75" s="349">
        <f>Q75</f>
        <v/>
      </c>
      <c r="S75" s="349">
        <f>R75</f>
        <v/>
      </c>
      <c r="T75" s="349">
        <f>S75</f>
        <v/>
      </c>
      <c r="U75" s="349">
        <f>T75</f>
        <v/>
      </c>
      <c r="V75" s="349">
        <f>U75</f>
        <v/>
      </c>
      <c r="W75" s="349">
        <f>V75</f>
        <v/>
      </c>
      <c r="X75" s="349">
        <f>W75</f>
        <v/>
      </c>
      <c r="Y75" s="349">
        <f>X75</f>
        <v/>
      </c>
      <c r="Z75" s="349">
        <f>Y75</f>
        <v/>
      </c>
      <c r="AA75" s="349">
        <f>Z75</f>
        <v/>
      </c>
      <c r="AB75" s="349">
        <f>AA75</f>
        <v/>
      </c>
      <c r="AC75" s="349">
        <f>AB75</f>
        <v/>
      </c>
      <c r="AD75" s="349">
        <f>AC75</f>
        <v/>
      </c>
      <c r="AE75" s="349">
        <f>AD75</f>
        <v/>
      </c>
      <c r="AF75" s="349">
        <f>AE75</f>
        <v/>
      </c>
      <c r="AG75" s="349">
        <f>AF75</f>
        <v/>
      </c>
      <c r="AH75" s="349">
        <f>AG75</f>
        <v/>
      </c>
      <c r="AI75" s="349">
        <f>AH75</f>
        <v/>
      </c>
      <c r="AJ75" s="349">
        <f>AI75</f>
        <v/>
      </c>
      <c r="AK75" s="349">
        <f>AJ75</f>
        <v/>
      </c>
      <c r="AL75" s="349">
        <f>AK75</f>
        <v/>
      </c>
      <c r="AM75" s="349">
        <f>AL75</f>
        <v/>
      </c>
      <c r="AN75" s="349">
        <f>AM75</f>
        <v/>
      </c>
      <c r="AO75" s="349">
        <f>AN75</f>
        <v/>
      </c>
      <c r="AP75" s="349">
        <f>AO75</f>
        <v/>
      </c>
      <c r="AQ75" s="349">
        <f>AP75</f>
        <v/>
      </c>
      <c r="AR75" s="349">
        <f>AQ75</f>
        <v/>
      </c>
      <c r="AS75" s="349">
        <f>AR75</f>
        <v/>
      </c>
      <c r="AT75" s="349">
        <f>AS75</f>
        <v/>
      </c>
      <c r="AU75" s="349">
        <f>AT75</f>
        <v/>
      </c>
      <c r="AV75" s="349">
        <f>AU75</f>
        <v/>
      </c>
      <c r="AW75" s="349">
        <f>AV75</f>
        <v/>
      </c>
      <c r="AX75" s="349">
        <f>AW75</f>
        <v/>
      </c>
      <c r="AY75" s="349">
        <f>AX75</f>
        <v/>
      </c>
      <c r="AZ75" s="349">
        <f>AY75</f>
        <v/>
      </c>
      <c r="BA75" s="349">
        <f>AZ75</f>
        <v/>
      </c>
      <c r="BB75" s="349">
        <f>BA75</f>
        <v/>
      </c>
      <c r="BC75" s="349">
        <f>BB75</f>
        <v/>
      </c>
      <c r="BD75" s="349">
        <f>BC75</f>
        <v/>
      </c>
      <c r="BE75" s="349">
        <f>BD75</f>
        <v/>
      </c>
      <c r="BF75" s="349">
        <f>BE75</f>
        <v/>
      </c>
      <c r="BG75" s="349">
        <f>BF75</f>
        <v/>
      </c>
      <c r="BH75" s="349">
        <f>BG75</f>
        <v/>
      </c>
      <c r="BI75" s="349">
        <f>BH75</f>
        <v/>
      </c>
      <c r="BJ75" s="349">
        <f>BI75</f>
        <v/>
      </c>
      <c r="BK75" s="349">
        <f>BJ75</f>
        <v/>
      </c>
      <c r="BL75" s="349">
        <f>BK75</f>
        <v/>
      </c>
      <c r="BM75" s="350">
        <f>SUM(E75:BL75)</f>
        <v/>
      </c>
    </row>
    <row r="76" ht="13.7" customFormat="1" customHeight="1" s="54">
      <c r="A76" s="48">
        <f>A75+1</f>
        <v/>
      </c>
      <c r="B76" s="277" t="inlineStr">
        <is>
          <t>Bolsista</t>
        </is>
      </c>
      <c r="C76" s="257" t="n"/>
      <c r="D76" s="255" t="n"/>
      <c r="E76" s="349">
        <f>E75</f>
        <v/>
      </c>
      <c r="F76" s="349">
        <f>E76</f>
        <v/>
      </c>
      <c r="G76" s="349">
        <f>F76</f>
        <v/>
      </c>
      <c r="H76" s="349">
        <f>G76</f>
        <v/>
      </c>
      <c r="I76" s="349">
        <f>H76</f>
        <v/>
      </c>
      <c r="J76" s="349">
        <f>I76</f>
        <v/>
      </c>
      <c r="K76" s="349">
        <f>J76</f>
        <v/>
      </c>
      <c r="L76" s="349">
        <f>K76</f>
        <v/>
      </c>
      <c r="M76" s="349">
        <f>L76</f>
        <v/>
      </c>
      <c r="N76" s="349">
        <f>M76</f>
        <v/>
      </c>
      <c r="O76" s="349">
        <f>N76</f>
        <v/>
      </c>
      <c r="P76" s="349">
        <f>O76</f>
        <v/>
      </c>
      <c r="Q76" s="349">
        <f>P76</f>
        <v/>
      </c>
      <c r="R76" s="349">
        <f>Q76</f>
        <v/>
      </c>
      <c r="S76" s="349">
        <f>R76</f>
        <v/>
      </c>
      <c r="T76" s="349">
        <f>S76</f>
        <v/>
      </c>
      <c r="U76" s="349">
        <f>T76</f>
        <v/>
      </c>
      <c r="V76" s="349">
        <f>U76</f>
        <v/>
      </c>
      <c r="W76" s="349">
        <f>V76</f>
        <v/>
      </c>
      <c r="X76" s="349">
        <f>W76</f>
        <v/>
      </c>
      <c r="Y76" s="349">
        <f>X76</f>
        <v/>
      </c>
      <c r="Z76" s="349">
        <f>Y76</f>
        <v/>
      </c>
      <c r="AA76" s="349">
        <f>Z76</f>
        <v/>
      </c>
      <c r="AB76" s="349">
        <f>AA76</f>
        <v/>
      </c>
      <c r="AC76" s="349">
        <f>AB76</f>
        <v/>
      </c>
      <c r="AD76" s="349">
        <f>AC76</f>
        <v/>
      </c>
      <c r="AE76" s="349">
        <f>AD76</f>
        <v/>
      </c>
      <c r="AF76" s="349">
        <f>AE76</f>
        <v/>
      </c>
      <c r="AG76" s="349">
        <f>AF76</f>
        <v/>
      </c>
      <c r="AH76" s="349">
        <f>AG76</f>
        <v/>
      </c>
      <c r="AI76" s="349">
        <f>AH76</f>
        <v/>
      </c>
      <c r="AJ76" s="349">
        <f>AI76</f>
        <v/>
      </c>
      <c r="AK76" s="349">
        <f>AJ76</f>
        <v/>
      </c>
      <c r="AL76" s="349">
        <f>AK76</f>
        <v/>
      </c>
      <c r="AM76" s="349">
        <f>AL76</f>
        <v/>
      </c>
      <c r="AN76" s="349">
        <f>AM76</f>
        <v/>
      </c>
      <c r="AO76" s="349">
        <f>AN76</f>
        <v/>
      </c>
      <c r="AP76" s="349">
        <f>AO76</f>
        <v/>
      </c>
      <c r="AQ76" s="349">
        <f>AP76</f>
        <v/>
      </c>
      <c r="AR76" s="349">
        <f>AQ76</f>
        <v/>
      </c>
      <c r="AS76" s="349">
        <f>AR76</f>
        <v/>
      </c>
      <c r="AT76" s="349">
        <f>AS76</f>
        <v/>
      </c>
      <c r="AU76" s="349">
        <f>AT76</f>
        <v/>
      </c>
      <c r="AV76" s="349">
        <f>AU76</f>
        <v/>
      </c>
      <c r="AW76" s="349">
        <f>AV76</f>
        <v/>
      </c>
      <c r="AX76" s="349">
        <f>AW76</f>
        <v/>
      </c>
      <c r="AY76" s="349">
        <f>AX76</f>
        <v/>
      </c>
      <c r="AZ76" s="349">
        <f>AY76</f>
        <v/>
      </c>
      <c r="BA76" s="349">
        <f>AZ76</f>
        <v/>
      </c>
      <c r="BB76" s="349">
        <f>BA76</f>
        <v/>
      </c>
      <c r="BC76" s="349">
        <f>BB76</f>
        <v/>
      </c>
      <c r="BD76" s="349">
        <f>BC76</f>
        <v/>
      </c>
      <c r="BE76" s="349">
        <f>BD76</f>
        <v/>
      </c>
      <c r="BF76" s="349">
        <f>BE76</f>
        <v/>
      </c>
      <c r="BG76" s="349">
        <f>BF76</f>
        <v/>
      </c>
      <c r="BH76" s="349">
        <f>BG76</f>
        <v/>
      </c>
      <c r="BI76" s="349">
        <f>BH76</f>
        <v/>
      </c>
      <c r="BJ76" s="349">
        <f>BI76</f>
        <v/>
      </c>
      <c r="BK76" s="349">
        <f>BJ76</f>
        <v/>
      </c>
      <c r="BL76" s="349">
        <f>BK76</f>
        <v/>
      </c>
      <c r="BM76" s="350">
        <f>SUM(E76:BL76)</f>
        <v/>
      </c>
    </row>
    <row r="77" ht="13.7" customFormat="1" customHeight="1" s="54">
      <c r="A77" s="48">
        <f>A76+1</f>
        <v/>
      </c>
      <c r="B77" s="278" t="inlineStr">
        <is>
          <t>Bolsista</t>
        </is>
      </c>
      <c r="C77" s="257" t="n"/>
      <c r="D77" s="255" t="n"/>
      <c r="E77" s="349">
        <f>E76</f>
        <v/>
      </c>
      <c r="F77" s="349">
        <f>E77</f>
        <v/>
      </c>
      <c r="G77" s="349">
        <f>F77</f>
        <v/>
      </c>
      <c r="H77" s="349">
        <f>G77</f>
        <v/>
      </c>
      <c r="I77" s="349">
        <f>H77</f>
        <v/>
      </c>
      <c r="J77" s="349">
        <f>I77</f>
        <v/>
      </c>
      <c r="K77" s="349">
        <f>J77</f>
        <v/>
      </c>
      <c r="L77" s="349">
        <f>K77</f>
        <v/>
      </c>
      <c r="M77" s="349">
        <f>L77</f>
        <v/>
      </c>
      <c r="N77" s="349">
        <f>M77</f>
        <v/>
      </c>
      <c r="O77" s="349">
        <f>N77</f>
        <v/>
      </c>
      <c r="P77" s="349">
        <f>O77</f>
        <v/>
      </c>
      <c r="Q77" s="349">
        <f>P77</f>
        <v/>
      </c>
      <c r="R77" s="349">
        <f>Q77</f>
        <v/>
      </c>
      <c r="S77" s="349">
        <f>R77</f>
        <v/>
      </c>
      <c r="T77" s="349">
        <f>S77</f>
        <v/>
      </c>
      <c r="U77" s="349">
        <f>T77</f>
        <v/>
      </c>
      <c r="V77" s="349">
        <f>U77</f>
        <v/>
      </c>
      <c r="W77" s="349">
        <f>V77</f>
        <v/>
      </c>
      <c r="X77" s="349">
        <f>W77</f>
        <v/>
      </c>
      <c r="Y77" s="349">
        <f>X77</f>
        <v/>
      </c>
      <c r="Z77" s="349">
        <f>Y77</f>
        <v/>
      </c>
      <c r="AA77" s="349">
        <f>Z77</f>
        <v/>
      </c>
      <c r="AB77" s="349">
        <f>AA77</f>
        <v/>
      </c>
      <c r="AC77" s="349">
        <f>AB77</f>
        <v/>
      </c>
      <c r="AD77" s="349">
        <f>AC77</f>
        <v/>
      </c>
      <c r="AE77" s="349">
        <f>AD77</f>
        <v/>
      </c>
      <c r="AF77" s="349">
        <f>AE77</f>
        <v/>
      </c>
      <c r="AG77" s="349">
        <f>AF77</f>
        <v/>
      </c>
      <c r="AH77" s="349">
        <f>AG77</f>
        <v/>
      </c>
      <c r="AI77" s="349">
        <f>AH77</f>
        <v/>
      </c>
      <c r="AJ77" s="349">
        <f>AI77</f>
        <v/>
      </c>
      <c r="AK77" s="349">
        <f>AJ77</f>
        <v/>
      </c>
      <c r="AL77" s="349">
        <f>AK77</f>
        <v/>
      </c>
      <c r="AM77" s="349">
        <f>AL77</f>
        <v/>
      </c>
      <c r="AN77" s="349">
        <f>AM77</f>
        <v/>
      </c>
      <c r="AO77" s="349">
        <f>AN77</f>
        <v/>
      </c>
      <c r="AP77" s="349">
        <f>AO77</f>
        <v/>
      </c>
      <c r="AQ77" s="349">
        <f>AP77</f>
        <v/>
      </c>
      <c r="AR77" s="349">
        <f>AQ77</f>
        <v/>
      </c>
      <c r="AS77" s="349">
        <f>AR77</f>
        <v/>
      </c>
      <c r="AT77" s="349">
        <f>AS77</f>
        <v/>
      </c>
      <c r="AU77" s="349">
        <f>AT77</f>
        <v/>
      </c>
      <c r="AV77" s="349">
        <f>AU77</f>
        <v/>
      </c>
      <c r="AW77" s="349">
        <f>AV77</f>
        <v/>
      </c>
      <c r="AX77" s="349">
        <f>AW77</f>
        <v/>
      </c>
      <c r="AY77" s="349">
        <f>AX77</f>
        <v/>
      </c>
      <c r="AZ77" s="349">
        <f>AY77</f>
        <v/>
      </c>
      <c r="BA77" s="349">
        <f>AZ77</f>
        <v/>
      </c>
      <c r="BB77" s="349">
        <f>BA77</f>
        <v/>
      </c>
      <c r="BC77" s="349">
        <f>BB77</f>
        <v/>
      </c>
      <c r="BD77" s="349">
        <f>BC77</f>
        <v/>
      </c>
      <c r="BE77" s="349">
        <f>BD77</f>
        <v/>
      </c>
      <c r="BF77" s="349">
        <f>BE77</f>
        <v/>
      </c>
      <c r="BG77" s="349">
        <f>BF77</f>
        <v/>
      </c>
      <c r="BH77" s="349">
        <f>BG77</f>
        <v/>
      </c>
      <c r="BI77" s="349">
        <f>BH77</f>
        <v/>
      </c>
      <c r="BJ77" s="349">
        <f>BI77</f>
        <v/>
      </c>
      <c r="BK77" s="349">
        <f>BJ77</f>
        <v/>
      </c>
      <c r="BL77" s="349">
        <f>BK77</f>
        <v/>
      </c>
      <c r="BM77" s="350">
        <f>SUM(E77:BL77)</f>
        <v/>
      </c>
      <c r="BN77" s="385">
        <f>SUM(BM74:BM77)</f>
        <v/>
      </c>
    </row>
    <row r="78" ht="13.7" customFormat="1" customHeight="1" s="54">
      <c r="A78" s="48">
        <f>A77+1</f>
        <v/>
      </c>
      <c r="B78" s="277" t="inlineStr">
        <is>
          <t>Serviços de Terceiros</t>
        </is>
      </c>
      <c r="C78" s="257" t="n"/>
      <c r="D78" s="255" t="n"/>
      <c r="E78" s="349" t="n">
        <v>20000</v>
      </c>
      <c r="F78" s="349">
        <f>E78</f>
        <v/>
      </c>
      <c r="G78" s="349">
        <f>F78</f>
        <v/>
      </c>
      <c r="H78" s="349">
        <f>G78</f>
        <v/>
      </c>
      <c r="I78" s="349">
        <f>H78</f>
        <v/>
      </c>
      <c r="J78" s="349">
        <f>I78</f>
        <v/>
      </c>
      <c r="K78" s="349">
        <f>J78</f>
        <v/>
      </c>
      <c r="L78" s="349">
        <f>K78</f>
        <v/>
      </c>
      <c r="M78" s="349">
        <f>L78</f>
        <v/>
      </c>
      <c r="N78" s="349">
        <f>M78</f>
        <v/>
      </c>
      <c r="O78" s="349">
        <f>N78</f>
        <v/>
      </c>
      <c r="P78" s="349">
        <f>O78</f>
        <v/>
      </c>
      <c r="Q78" s="349">
        <f>P78</f>
        <v/>
      </c>
      <c r="R78" s="349">
        <f>Q78</f>
        <v/>
      </c>
      <c r="S78" s="349">
        <f>R78</f>
        <v/>
      </c>
      <c r="T78" s="349">
        <f>S78</f>
        <v/>
      </c>
      <c r="U78" s="349">
        <f>T78</f>
        <v/>
      </c>
      <c r="V78" s="349">
        <f>U78</f>
        <v/>
      </c>
      <c r="W78" s="349">
        <f>V78</f>
        <v/>
      </c>
      <c r="X78" s="349">
        <f>W78</f>
        <v/>
      </c>
      <c r="Y78" s="349">
        <f>X78</f>
        <v/>
      </c>
      <c r="Z78" s="349">
        <f>Y78</f>
        <v/>
      </c>
      <c r="AA78" s="349">
        <f>Z78</f>
        <v/>
      </c>
      <c r="AB78" s="349">
        <f>AA78</f>
        <v/>
      </c>
      <c r="AC78" s="349">
        <f>AB78</f>
        <v/>
      </c>
      <c r="AD78" s="349">
        <f>AC78</f>
        <v/>
      </c>
      <c r="AE78" s="349">
        <f>AD78</f>
        <v/>
      </c>
      <c r="AF78" s="349">
        <f>AE78</f>
        <v/>
      </c>
      <c r="AG78" s="349">
        <f>AF78</f>
        <v/>
      </c>
      <c r="AH78" s="349">
        <f>AG78</f>
        <v/>
      </c>
      <c r="AI78" s="349">
        <f>AH78</f>
        <v/>
      </c>
      <c r="AJ78" s="349">
        <f>AI78</f>
        <v/>
      </c>
      <c r="AK78" s="349">
        <f>AJ78</f>
        <v/>
      </c>
      <c r="AL78" s="349">
        <f>AK78</f>
        <v/>
      </c>
      <c r="AM78" s="349">
        <f>AL78</f>
        <v/>
      </c>
      <c r="AN78" s="349">
        <f>AM78</f>
        <v/>
      </c>
      <c r="AO78" s="349">
        <f>AN78</f>
        <v/>
      </c>
      <c r="AP78" s="349">
        <f>AO78</f>
        <v/>
      </c>
      <c r="AQ78" s="349">
        <f>AP78</f>
        <v/>
      </c>
      <c r="AR78" s="349">
        <f>AQ78</f>
        <v/>
      </c>
      <c r="AS78" s="349">
        <f>AR78</f>
        <v/>
      </c>
      <c r="AT78" s="349">
        <f>AS78</f>
        <v/>
      </c>
      <c r="AU78" s="349">
        <f>AT78</f>
        <v/>
      </c>
      <c r="AV78" s="349">
        <f>AU78</f>
        <v/>
      </c>
      <c r="AW78" s="349">
        <f>AV78</f>
        <v/>
      </c>
      <c r="AX78" s="349">
        <f>AW78</f>
        <v/>
      </c>
      <c r="AY78" s="349">
        <f>AX78</f>
        <v/>
      </c>
      <c r="AZ78" s="349">
        <f>AY78</f>
        <v/>
      </c>
      <c r="BA78" s="349">
        <f>AZ78</f>
        <v/>
      </c>
      <c r="BB78" s="349">
        <f>BA78</f>
        <v/>
      </c>
      <c r="BC78" s="349">
        <f>BB78</f>
        <v/>
      </c>
      <c r="BD78" s="349">
        <f>BC78</f>
        <v/>
      </c>
      <c r="BE78" s="349">
        <f>BD78</f>
        <v/>
      </c>
      <c r="BF78" s="349">
        <f>BE78</f>
        <v/>
      </c>
      <c r="BG78" s="349">
        <f>BF78</f>
        <v/>
      </c>
      <c r="BH78" s="349">
        <f>BG78</f>
        <v/>
      </c>
      <c r="BI78" s="349">
        <f>BH78</f>
        <v/>
      </c>
      <c r="BJ78" s="349">
        <f>BI78</f>
        <v/>
      </c>
      <c r="BK78" s="349">
        <f>BJ78</f>
        <v/>
      </c>
      <c r="BL78" s="349">
        <f>BK78</f>
        <v/>
      </c>
      <c r="BM78" s="350">
        <f>SUM(E78:BL78)</f>
        <v/>
      </c>
    </row>
    <row r="79" ht="13.7" customFormat="1" customHeight="1" s="54">
      <c r="A79" s="48">
        <f>A78+1</f>
        <v/>
      </c>
      <c r="B79" s="278" t="inlineStr">
        <is>
          <t>Equipamentos</t>
        </is>
      </c>
      <c r="C79" s="257" t="n"/>
      <c r="D79" s="255" t="n"/>
      <c r="E79" s="349" t="n"/>
      <c r="F79" s="349" t="n"/>
      <c r="G79" s="349" t="n">
        <v>80000</v>
      </c>
      <c r="H79" s="349">
        <f>G79</f>
        <v/>
      </c>
      <c r="I79" s="349">
        <f>H79</f>
        <v/>
      </c>
      <c r="J79" s="349">
        <f>I79</f>
        <v/>
      </c>
      <c r="K79" s="349">
        <f>J79</f>
        <v/>
      </c>
      <c r="L79" s="349">
        <f>K79</f>
        <v/>
      </c>
      <c r="M79" s="349">
        <f>L79</f>
        <v/>
      </c>
      <c r="N79" s="349">
        <f>M79</f>
        <v/>
      </c>
      <c r="O79" s="349">
        <f>N79</f>
        <v/>
      </c>
      <c r="P79" s="349">
        <f>O79</f>
        <v/>
      </c>
      <c r="Q79" s="349" t="n"/>
      <c r="R79" s="349" t="n"/>
      <c r="S79" s="349" t="n"/>
      <c r="T79" s="349" t="n"/>
      <c r="U79" s="349" t="n"/>
      <c r="V79" s="349" t="n"/>
      <c r="W79" s="349" t="n"/>
      <c r="X79" s="349" t="n"/>
      <c r="Y79" s="349" t="n"/>
      <c r="Z79" s="349" t="n"/>
      <c r="AA79" s="349" t="n"/>
      <c r="AB79" s="349" t="n"/>
      <c r="AC79" s="349" t="n"/>
      <c r="AD79" s="349" t="n"/>
      <c r="AE79" s="349" t="n"/>
      <c r="AF79" s="349" t="n"/>
      <c r="AG79" s="349" t="n"/>
      <c r="AH79" s="349" t="n"/>
      <c r="AI79" s="349" t="n"/>
      <c r="AJ79" s="349" t="n"/>
      <c r="AK79" s="349" t="n"/>
      <c r="AL79" s="349" t="n"/>
      <c r="AM79" s="349" t="n"/>
      <c r="AN79" s="349" t="n"/>
      <c r="AO79" s="349" t="n"/>
      <c r="AP79" s="349" t="n"/>
      <c r="AQ79" s="349" t="n"/>
      <c r="AR79" s="349" t="n"/>
      <c r="AS79" s="349" t="n"/>
      <c r="AT79" s="349" t="n"/>
      <c r="AU79" s="349" t="n"/>
      <c r="AV79" s="349" t="n"/>
      <c r="AW79" s="349" t="n"/>
      <c r="AX79" s="349" t="n"/>
      <c r="AY79" s="349" t="n"/>
      <c r="AZ79" s="349" t="n"/>
      <c r="BA79" s="349" t="n"/>
      <c r="BB79" s="349" t="n"/>
      <c r="BC79" s="349" t="n"/>
      <c r="BD79" s="349" t="n"/>
      <c r="BE79" s="349" t="n"/>
      <c r="BF79" s="349" t="n"/>
      <c r="BG79" s="349" t="n"/>
      <c r="BH79" s="349" t="n"/>
      <c r="BI79" s="349" t="n"/>
      <c r="BJ79" s="349" t="n"/>
      <c r="BK79" s="349" t="n"/>
      <c r="BL79" s="349" t="n"/>
      <c r="BM79" s="350">
        <f>SUM(E79:BL79)</f>
        <v/>
      </c>
    </row>
    <row r="80" ht="13.7" customFormat="1" customHeight="1" s="54">
      <c r="A80" s="48">
        <f>A79+1</f>
        <v/>
      </c>
      <c r="B80" s="278" t="inlineStr">
        <is>
          <t>Despesas com Viagens</t>
        </is>
      </c>
      <c r="C80" s="257" t="n"/>
      <c r="D80" s="255" t="n"/>
      <c r="E80" s="349" t="n">
        <v>56000</v>
      </c>
      <c r="F80" s="349">
        <f>E80</f>
        <v/>
      </c>
      <c r="G80" s="349">
        <f>F80</f>
        <v/>
      </c>
      <c r="H80" s="349">
        <f>G80</f>
        <v/>
      </c>
      <c r="I80" s="349">
        <f>H80</f>
        <v/>
      </c>
      <c r="J80" s="349">
        <f>I80</f>
        <v/>
      </c>
      <c r="K80" s="349">
        <f>J80</f>
        <v/>
      </c>
      <c r="L80" s="349">
        <f>K80</f>
        <v/>
      </c>
      <c r="M80" s="349">
        <f>L80</f>
        <v/>
      </c>
      <c r="N80" s="349">
        <f>M80</f>
        <v/>
      </c>
      <c r="O80" s="349">
        <f>N80</f>
        <v/>
      </c>
      <c r="P80" s="349">
        <f>O80</f>
        <v/>
      </c>
      <c r="Q80" s="349">
        <f>P80</f>
        <v/>
      </c>
      <c r="R80" s="349">
        <f>Q80</f>
        <v/>
      </c>
      <c r="S80" s="349">
        <f>R80</f>
        <v/>
      </c>
      <c r="T80" s="349">
        <f>S80</f>
        <v/>
      </c>
      <c r="U80" s="349">
        <f>T80</f>
        <v/>
      </c>
      <c r="V80" s="349">
        <f>U80</f>
        <v/>
      </c>
      <c r="W80" s="349">
        <f>V80</f>
        <v/>
      </c>
      <c r="X80" s="349">
        <f>W80</f>
        <v/>
      </c>
      <c r="Y80" s="349">
        <f>X80</f>
        <v/>
      </c>
      <c r="Z80" s="349">
        <f>Y80</f>
        <v/>
      </c>
      <c r="AA80" s="349">
        <f>Z80</f>
        <v/>
      </c>
      <c r="AB80" s="349">
        <f>AA80</f>
        <v/>
      </c>
      <c r="AC80" s="349">
        <f>AB80</f>
        <v/>
      </c>
      <c r="AD80" s="349">
        <f>AC80</f>
        <v/>
      </c>
      <c r="AE80" s="349">
        <f>AD80</f>
        <v/>
      </c>
      <c r="AF80" s="349">
        <f>AE80</f>
        <v/>
      </c>
      <c r="AG80" s="349">
        <f>AF80</f>
        <v/>
      </c>
      <c r="AH80" s="349">
        <f>AG80</f>
        <v/>
      </c>
      <c r="AI80" s="349">
        <f>AH80</f>
        <v/>
      </c>
      <c r="AJ80" s="349">
        <f>AI80</f>
        <v/>
      </c>
      <c r="AK80" s="349">
        <f>AJ80</f>
        <v/>
      </c>
      <c r="AL80" s="349">
        <f>AK80</f>
        <v/>
      </c>
      <c r="AM80" s="349">
        <f>AL80</f>
        <v/>
      </c>
      <c r="AN80" s="349">
        <f>AM80</f>
        <v/>
      </c>
      <c r="AO80" s="349">
        <f>AN80</f>
        <v/>
      </c>
      <c r="AP80" s="349">
        <f>AO80</f>
        <v/>
      </c>
      <c r="AQ80" s="349">
        <f>AP80</f>
        <v/>
      </c>
      <c r="AR80" s="349">
        <f>AQ80</f>
        <v/>
      </c>
      <c r="AS80" s="349">
        <f>AR80</f>
        <v/>
      </c>
      <c r="AT80" s="349">
        <f>AS80</f>
        <v/>
      </c>
      <c r="AU80" s="349">
        <f>AT80</f>
        <v/>
      </c>
      <c r="AV80" s="349">
        <f>AU80</f>
        <v/>
      </c>
      <c r="AW80" s="349">
        <f>AV80</f>
        <v/>
      </c>
      <c r="AX80" s="349">
        <f>AW80</f>
        <v/>
      </c>
      <c r="AY80" s="349">
        <f>AX80</f>
        <v/>
      </c>
      <c r="AZ80" s="349">
        <f>AY80</f>
        <v/>
      </c>
      <c r="BA80" s="349">
        <f>AZ80</f>
        <v/>
      </c>
      <c r="BB80" s="349">
        <f>BA80</f>
        <v/>
      </c>
      <c r="BC80" s="349">
        <f>BB80</f>
        <v/>
      </c>
      <c r="BD80" s="349">
        <f>BC80</f>
        <v/>
      </c>
      <c r="BE80" s="349">
        <f>BD80</f>
        <v/>
      </c>
      <c r="BF80" s="349">
        <f>BE80</f>
        <v/>
      </c>
      <c r="BG80" s="349">
        <f>BF80</f>
        <v/>
      </c>
      <c r="BH80" s="349">
        <f>BG80</f>
        <v/>
      </c>
      <c r="BI80" s="349">
        <f>BH80</f>
        <v/>
      </c>
      <c r="BJ80" s="349">
        <f>BI80</f>
        <v/>
      </c>
      <c r="BK80" s="349">
        <f>BJ80</f>
        <v/>
      </c>
      <c r="BL80" s="349">
        <f>BK80</f>
        <v/>
      </c>
      <c r="BM80" s="350">
        <f>SUM(E80:BL80)</f>
        <v/>
      </c>
    </row>
    <row r="81" ht="13.7" customFormat="1" customHeight="1" s="54">
      <c r="A81" s="48">
        <f>A80+1</f>
        <v/>
      </c>
      <c r="B81" s="278" t="inlineStr">
        <is>
          <t>Diárias</t>
        </is>
      </c>
      <c r="C81" s="257" t="n"/>
      <c r="D81" s="255" t="n"/>
      <c r="E81" s="349" t="n">
        <v>30000</v>
      </c>
      <c r="F81" s="349">
        <f>E81</f>
        <v/>
      </c>
      <c r="G81" s="349">
        <f>F81</f>
        <v/>
      </c>
      <c r="H81" s="349">
        <f>G81</f>
        <v/>
      </c>
      <c r="I81" s="349">
        <f>H81</f>
        <v/>
      </c>
      <c r="J81" s="349">
        <f>I81</f>
        <v/>
      </c>
      <c r="K81" s="349">
        <f>J81</f>
        <v/>
      </c>
      <c r="L81" s="349">
        <f>K81</f>
        <v/>
      </c>
      <c r="M81" s="349">
        <f>L81</f>
        <v/>
      </c>
      <c r="N81" s="349">
        <f>M81</f>
        <v/>
      </c>
      <c r="O81" s="349">
        <f>N81</f>
        <v/>
      </c>
      <c r="P81" s="349">
        <f>O81</f>
        <v/>
      </c>
      <c r="Q81" s="349">
        <f>P81</f>
        <v/>
      </c>
      <c r="R81" s="349">
        <f>Q81</f>
        <v/>
      </c>
      <c r="S81" s="349">
        <f>R81</f>
        <v/>
      </c>
      <c r="T81" s="349">
        <f>S81</f>
        <v/>
      </c>
      <c r="U81" s="349">
        <f>T81</f>
        <v/>
      </c>
      <c r="V81" s="349">
        <f>U81</f>
        <v/>
      </c>
      <c r="W81" s="349">
        <f>V81</f>
        <v/>
      </c>
      <c r="X81" s="349">
        <f>W81</f>
        <v/>
      </c>
      <c r="Y81" s="349">
        <f>X81</f>
        <v/>
      </c>
      <c r="Z81" s="349">
        <f>Y81</f>
        <v/>
      </c>
      <c r="AA81" s="349">
        <f>Z81</f>
        <v/>
      </c>
      <c r="AB81" s="349">
        <f>AA81</f>
        <v/>
      </c>
      <c r="AC81" s="349">
        <f>AB81</f>
        <v/>
      </c>
      <c r="AD81" s="349">
        <f>AC81</f>
        <v/>
      </c>
      <c r="AE81" s="349">
        <f>AD81</f>
        <v/>
      </c>
      <c r="AF81" s="349">
        <f>AE81</f>
        <v/>
      </c>
      <c r="AG81" s="349">
        <f>AF81</f>
        <v/>
      </c>
      <c r="AH81" s="349">
        <f>AG81</f>
        <v/>
      </c>
      <c r="AI81" s="349">
        <f>AH81</f>
        <v/>
      </c>
      <c r="AJ81" s="349">
        <f>AI81</f>
        <v/>
      </c>
      <c r="AK81" s="349">
        <f>AJ81</f>
        <v/>
      </c>
      <c r="AL81" s="349">
        <f>AK81</f>
        <v/>
      </c>
      <c r="AM81" s="349">
        <f>AL81</f>
        <v/>
      </c>
      <c r="AN81" s="349">
        <f>AM81</f>
        <v/>
      </c>
      <c r="AO81" s="349">
        <f>AN81</f>
        <v/>
      </c>
      <c r="AP81" s="349">
        <f>AO81</f>
        <v/>
      </c>
      <c r="AQ81" s="349">
        <f>AP81</f>
        <v/>
      </c>
      <c r="AR81" s="349">
        <f>AQ81</f>
        <v/>
      </c>
      <c r="AS81" s="349">
        <f>AR81</f>
        <v/>
      </c>
      <c r="AT81" s="349">
        <f>AS81</f>
        <v/>
      </c>
      <c r="AU81" s="349">
        <f>AT81</f>
        <v/>
      </c>
      <c r="AV81" s="349">
        <f>AU81</f>
        <v/>
      </c>
      <c r="AW81" s="349">
        <f>AV81</f>
        <v/>
      </c>
      <c r="AX81" s="349">
        <f>AW81</f>
        <v/>
      </c>
      <c r="AY81" s="349">
        <f>AX81</f>
        <v/>
      </c>
      <c r="AZ81" s="349">
        <f>AY81</f>
        <v/>
      </c>
      <c r="BA81" s="349">
        <f>AZ81</f>
        <v/>
      </c>
      <c r="BB81" s="349">
        <f>BA81</f>
        <v/>
      </c>
      <c r="BC81" s="349">
        <f>BB81</f>
        <v/>
      </c>
      <c r="BD81" s="349">
        <f>BC81</f>
        <v/>
      </c>
      <c r="BE81" s="349">
        <f>BD81</f>
        <v/>
      </c>
      <c r="BF81" s="349">
        <f>BE81</f>
        <v/>
      </c>
      <c r="BG81" s="349">
        <f>BF81</f>
        <v/>
      </c>
      <c r="BH81" s="349">
        <f>BG81</f>
        <v/>
      </c>
      <c r="BI81" s="349">
        <f>BH81</f>
        <v/>
      </c>
      <c r="BJ81" s="349">
        <f>BI81</f>
        <v/>
      </c>
      <c r="BK81" s="349">
        <f>BJ81</f>
        <v/>
      </c>
      <c r="BL81" s="349">
        <f>BK81</f>
        <v/>
      </c>
      <c r="BM81" s="350">
        <f>SUM(E81:BL81)</f>
        <v/>
      </c>
    </row>
    <row r="82" ht="13.7" customFormat="1" customHeight="1" s="54">
      <c r="A82" s="48">
        <f>A81+1</f>
        <v/>
      </c>
      <c r="B82" s="278" t="inlineStr">
        <is>
          <t>Material de Consumo</t>
        </is>
      </c>
      <c r="C82" s="257" t="n"/>
      <c r="D82" s="255" t="n"/>
      <c r="E82" s="349" t="n">
        <v>4000</v>
      </c>
      <c r="F82" s="349">
        <f>E82</f>
        <v/>
      </c>
      <c r="G82" s="349">
        <f>F82</f>
        <v/>
      </c>
      <c r="H82" s="349">
        <f>G82</f>
        <v/>
      </c>
      <c r="I82" s="349">
        <f>H82</f>
        <v/>
      </c>
      <c r="J82" s="349">
        <f>I82</f>
        <v/>
      </c>
      <c r="K82" s="349">
        <f>J82</f>
        <v/>
      </c>
      <c r="L82" s="349">
        <f>K82</f>
        <v/>
      </c>
      <c r="M82" s="349">
        <f>L82</f>
        <v/>
      </c>
      <c r="N82" s="349">
        <f>M82</f>
        <v/>
      </c>
      <c r="O82" s="349">
        <f>N82</f>
        <v/>
      </c>
      <c r="P82" s="349">
        <f>O82</f>
        <v/>
      </c>
      <c r="Q82" s="349">
        <f>P82</f>
        <v/>
      </c>
      <c r="R82" s="349">
        <f>Q82</f>
        <v/>
      </c>
      <c r="S82" s="349">
        <f>R82</f>
        <v/>
      </c>
      <c r="T82" s="349">
        <f>S82</f>
        <v/>
      </c>
      <c r="U82" s="349">
        <f>T82</f>
        <v/>
      </c>
      <c r="V82" s="349">
        <f>U82</f>
        <v/>
      </c>
      <c r="W82" s="349">
        <f>V82</f>
        <v/>
      </c>
      <c r="X82" s="349">
        <f>W82</f>
        <v/>
      </c>
      <c r="Y82" s="349">
        <f>X82</f>
        <v/>
      </c>
      <c r="Z82" s="349">
        <f>Y82</f>
        <v/>
      </c>
      <c r="AA82" s="349">
        <f>Z82</f>
        <v/>
      </c>
      <c r="AB82" s="349">
        <f>AA82</f>
        <v/>
      </c>
      <c r="AC82" s="349">
        <f>AB82</f>
        <v/>
      </c>
      <c r="AD82" s="349">
        <f>AC82</f>
        <v/>
      </c>
      <c r="AE82" s="349">
        <f>AD82</f>
        <v/>
      </c>
      <c r="AF82" s="349">
        <f>AE82</f>
        <v/>
      </c>
      <c r="AG82" s="349">
        <f>AF82</f>
        <v/>
      </c>
      <c r="AH82" s="349">
        <f>AG82</f>
        <v/>
      </c>
      <c r="AI82" s="349">
        <f>AH82</f>
        <v/>
      </c>
      <c r="AJ82" s="349">
        <f>AI82</f>
        <v/>
      </c>
      <c r="AK82" s="349">
        <f>AJ82</f>
        <v/>
      </c>
      <c r="AL82" s="349">
        <f>AK82</f>
        <v/>
      </c>
      <c r="AM82" s="349">
        <f>AL82</f>
        <v/>
      </c>
      <c r="AN82" s="349">
        <f>AM82</f>
        <v/>
      </c>
      <c r="AO82" s="349">
        <f>AN82</f>
        <v/>
      </c>
      <c r="AP82" s="349">
        <f>AO82</f>
        <v/>
      </c>
      <c r="AQ82" s="349">
        <f>AP82</f>
        <v/>
      </c>
      <c r="AR82" s="349">
        <f>AQ82</f>
        <v/>
      </c>
      <c r="AS82" s="349">
        <f>AR82</f>
        <v/>
      </c>
      <c r="AT82" s="349">
        <f>AS82</f>
        <v/>
      </c>
      <c r="AU82" s="349">
        <f>AT82</f>
        <v/>
      </c>
      <c r="AV82" s="349">
        <f>AU82</f>
        <v/>
      </c>
      <c r="AW82" s="349">
        <f>AV82</f>
        <v/>
      </c>
      <c r="AX82" s="349">
        <f>AW82</f>
        <v/>
      </c>
      <c r="AY82" s="349">
        <f>AX82</f>
        <v/>
      </c>
      <c r="AZ82" s="349">
        <f>AY82</f>
        <v/>
      </c>
      <c r="BA82" s="349">
        <f>AZ82</f>
        <v/>
      </c>
      <c r="BB82" s="349">
        <f>BA82</f>
        <v/>
      </c>
      <c r="BC82" s="349">
        <f>BB82</f>
        <v/>
      </c>
      <c r="BD82" s="349">
        <f>BC82</f>
        <v/>
      </c>
      <c r="BE82" s="349">
        <f>BD82</f>
        <v/>
      </c>
      <c r="BF82" s="349">
        <f>BE82</f>
        <v/>
      </c>
      <c r="BG82" s="349">
        <f>BF82</f>
        <v/>
      </c>
      <c r="BH82" s="349">
        <f>BG82</f>
        <v/>
      </c>
      <c r="BI82" s="349">
        <f>BH82</f>
        <v/>
      </c>
      <c r="BJ82" s="349">
        <f>BI82</f>
        <v/>
      </c>
      <c r="BK82" s="349">
        <f>BJ82</f>
        <v/>
      </c>
      <c r="BL82" s="349">
        <f>BK82</f>
        <v/>
      </c>
      <c r="BM82" s="350">
        <f>SUM(E82:BL82)</f>
        <v/>
      </c>
    </row>
    <row r="83" ht="13.7" customHeight="1" s="276">
      <c r="A83" s="282" t="inlineStr">
        <is>
          <t>subtotal</t>
        </is>
      </c>
      <c r="B83" s="257" t="n"/>
      <c r="C83" s="257" t="n"/>
      <c r="D83" s="255" t="n"/>
      <c r="E83" s="353">
        <f>SUM(E5:E82)</f>
        <v/>
      </c>
      <c r="F83" s="353">
        <f>SUM(F5:F82)</f>
        <v/>
      </c>
      <c r="G83" s="353">
        <f>SUM(G5:G82)</f>
        <v/>
      </c>
      <c r="H83" s="353">
        <f>SUM(H5:H82)</f>
        <v/>
      </c>
      <c r="I83" s="353">
        <f>SUM(I5:I82)</f>
        <v/>
      </c>
      <c r="J83" s="353">
        <f>SUM(J5:J82)</f>
        <v/>
      </c>
      <c r="K83" s="353">
        <f>SUM(K5:K82)</f>
        <v/>
      </c>
      <c r="L83" s="353">
        <f>SUM(L5:L82)</f>
        <v/>
      </c>
      <c r="M83" s="353">
        <f>SUM(M5:M82)</f>
        <v/>
      </c>
      <c r="N83" s="353">
        <f>SUM(N5:N82)</f>
        <v/>
      </c>
      <c r="O83" s="353">
        <f>SUM(O5:O82)</f>
        <v/>
      </c>
      <c r="P83" s="353">
        <f>SUM(P5:P82)</f>
        <v/>
      </c>
      <c r="Q83" s="353">
        <f>SUM(Q5:Q82)</f>
        <v/>
      </c>
      <c r="R83" s="353">
        <f>SUM(R5:R82)</f>
        <v/>
      </c>
      <c r="S83" s="353">
        <f>SUM(S5:S82)</f>
        <v/>
      </c>
      <c r="T83" s="353">
        <f>SUM(T5:T82)</f>
        <v/>
      </c>
      <c r="U83" s="353">
        <f>SUM(U5:U82)</f>
        <v/>
      </c>
      <c r="V83" s="353">
        <f>SUM(V5:V82)</f>
        <v/>
      </c>
      <c r="W83" s="353">
        <f>SUM(W5:W82)</f>
        <v/>
      </c>
      <c r="X83" s="353">
        <f>SUM(X5:X82)</f>
        <v/>
      </c>
      <c r="Y83" s="353">
        <f>SUM(Y5:Y82)</f>
        <v/>
      </c>
      <c r="Z83" s="353">
        <f>SUM(Z5:Z82)</f>
        <v/>
      </c>
      <c r="AA83" s="353">
        <f>SUM(AA5:AA82)</f>
        <v/>
      </c>
      <c r="AB83" s="353">
        <f>SUM(AB5:AB82)</f>
        <v/>
      </c>
      <c r="AC83" s="353">
        <f>SUM(AC5:AC82)</f>
        <v/>
      </c>
      <c r="AD83" s="353">
        <f>SUM(AD5:AD82)</f>
        <v/>
      </c>
      <c r="AE83" s="353">
        <f>SUM(AE5:AE82)</f>
        <v/>
      </c>
      <c r="AF83" s="353">
        <f>SUM(AF5:AF82)</f>
        <v/>
      </c>
      <c r="AG83" s="353">
        <f>SUM(AG5:AG82)</f>
        <v/>
      </c>
      <c r="AH83" s="353">
        <f>SUM(AH5:AH82)</f>
        <v/>
      </c>
      <c r="AI83" s="353">
        <f>SUM(AI5:AI82)</f>
        <v/>
      </c>
      <c r="AJ83" s="353">
        <f>SUM(AJ5:AJ82)</f>
        <v/>
      </c>
      <c r="AK83" s="353">
        <f>SUM(AK5:AK82)</f>
        <v/>
      </c>
      <c r="AL83" s="353">
        <f>SUM(AL5:AL82)</f>
        <v/>
      </c>
      <c r="AM83" s="353">
        <f>SUM(AM5:AM82)</f>
        <v/>
      </c>
      <c r="AN83" s="353">
        <f>SUM(AN5:AN82)</f>
        <v/>
      </c>
      <c r="AO83" s="353">
        <f>SUM(AO5:AO82)</f>
        <v/>
      </c>
      <c r="AP83" s="353">
        <f>SUM(AP5:AP82)</f>
        <v/>
      </c>
      <c r="AQ83" s="353">
        <f>SUM(AQ5:AQ82)</f>
        <v/>
      </c>
      <c r="AR83" s="353">
        <f>SUM(AR5:AR82)</f>
        <v/>
      </c>
      <c r="AS83" s="353">
        <f>SUM(AS5:AS82)</f>
        <v/>
      </c>
      <c r="AT83" s="353">
        <f>SUM(AT5:AT82)</f>
        <v/>
      </c>
      <c r="AU83" s="353">
        <f>SUM(AU5:AU82)</f>
        <v/>
      </c>
      <c r="AV83" s="353">
        <f>SUM(AV5:AV82)</f>
        <v/>
      </c>
      <c r="AW83" s="353">
        <f>SUM(AW5:AW82)</f>
        <v/>
      </c>
      <c r="AX83" s="353">
        <f>SUM(AX5:AX82)</f>
        <v/>
      </c>
      <c r="AY83" s="353">
        <f>SUM(AY5:AY82)</f>
        <v/>
      </c>
      <c r="AZ83" s="353">
        <f>SUM(AZ5:AZ82)</f>
        <v/>
      </c>
      <c r="BA83" s="353">
        <f>SUM(BA5:BA82)</f>
        <v/>
      </c>
      <c r="BB83" s="353">
        <f>SUM(BB5:BB82)</f>
        <v/>
      </c>
      <c r="BC83" s="353">
        <f>SUM(BC5:BC82)</f>
        <v/>
      </c>
      <c r="BD83" s="353">
        <f>SUM(BD5:BD82)</f>
        <v/>
      </c>
      <c r="BE83" s="353">
        <f>SUM(BE5:BE82)</f>
        <v/>
      </c>
      <c r="BF83" s="353">
        <f>SUM(BF5:BF82)</f>
        <v/>
      </c>
      <c r="BG83" s="353">
        <f>SUM(BG5:BG82)</f>
        <v/>
      </c>
      <c r="BH83" s="353">
        <f>SUM(BH5:BH82)</f>
        <v/>
      </c>
      <c r="BI83" s="353">
        <f>SUM(BI5:BI82)</f>
        <v/>
      </c>
      <c r="BJ83" s="353">
        <f>SUM(BJ5:BJ82)</f>
        <v/>
      </c>
      <c r="BK83" s="353">
        <f>SUM(BK5:BK82)</f>
        <v/>
      </c>
      <c r="BL83" s="353">
        <f>SUM(BL5:BL82)</f>
        <v/>
      </c>
      <c r="BM83" s="353">
        <f>SUM(BM5:BM82)</f>
        <v/>
      </c>
    </row>
    <row r="84" ht="13.7" customHeight="1" s="276">
      <c r="A84" s="55">
        <f>A82+1</f>
        <v/>
      </c>
      <c r="B84" s="280" t="inlineStr">
        <is>
          <t>FAPEU</t>
        </is>
      </c>
      <c r="C84" s="255" t="n"/>
      <c r="D84" s="56" t="n">
        <v>0.0726</v>
      </c>
      <c r="E84" s="351">
        <f>E3*$D$84</f>
        <v/>
      </c>
      <c r="F84" s="351">
        <f>F3*$D$84</f>
        <v/>
      </c>
      <c r="G84" s="351">
        <f>G3*$D$84</f>
        <v/>
      </c>
      <c r="H84" s="351">
        <f>H3*$D$84</f>
        <v/>
      </c>
      <c r="I84" s="351">
        <f>I3*$D$84</f>
        <v/>
      </c>
      <c r="J84" s="351">
        <f>J3*$D$84</f>
        <v/>
      </c>
      <c r="K84" s="351">
        <f>K3*$D$84</f>
        <v/>
      </c>
      <c r="L84" s="351">
        <f>L3*$D$84</f>
        <v/>
      </c>
      <c r="M84" s="351">
        <f>M3*$D$84</f>
        <v/>
      </c>
      <c r="N84" s="351">
        <f>N3*$D$84</f>
        <v/>
      </c>
      <c r="O84" s="351">
        <f>O3*$D$84</f>
        <v/>
      </c>
      <c r="P84" s="351">
        <f>P3*$D$84</f>
        <v/>
      </c>
      <c r="Q84" s="351">
        <f>Q3*$D$84</f>
        <v/>
      </c>
      <c r="R84" s="351">
        <f>R3*$D$84</f>
        <v/>
      </c>
      <c r="S84" s="351">
        <f>S3*$D$84</f>
        <v/>
      </c>
      <c r="T84" s="351">
        <f>T3*$D$84</f>
        <v/>
      </c>
      <c r="U84" s="351">
        <f>U3*$D$84</f>
        <v/>
      </c>
      <c r="V84" s="351">
        <f>V3*$D$84</f>
        <v/>
      </c>
      <c r="W84" s="351">
        <f>W3*$D$84</f>
        <v/>
      </c>
      <c r="X84" s="351">
        <f>X3*$D$84</f>
        <v/>
      </c>
      <c r="Y84" s="351">
        <f>Y3*$D$84</f>
        <v/>
      </c>
      <c r="Z84" s="351">
        <f>Z3*$D$84</f>
        <v/>
      </c>
      <c r="AA84" s="351">
        <f>AA3*$D$84</f>
        <v/>
      </c>
      <c r="AB84" s="351">
        <f>AB3*$D$84</f>
        <v/>
      </c>
      <c r="AC84" s="351">
        <f>AC3*$D$84</f>
        <v/>
      </c>
      <c r="AD84" s="351">
        <f>AD3*$D$84</f>
        <v/>
      </c>
      <c r="AE84" s="351">
        <f>AE3*$D$84</f>
        <v/>
      </c>
      <c r="AF84" s="351">
        <f>AF3*$D$84</f>
        <v/>
      </c>
      <c r="AG84" s="351">
        <f>AG3*$D$84</f>
        <v/>
      </c>
      <c r="AH84" s="351">
        <f>AH3*$D$84</f>
        <v/>
      </c>
      <c r="AI84" s="351">
        <f>AI3*$D$84</f>
        <v/>
      </c>
      <c r="AJ84" s="351">
        <f>AJ3*$D$84</f>
        <v/>
      </c>
      <c r="AK84" s="351">
        <f>AK3*$D$84</f>
        <v/>
      </c>
      <c r="AL84" s="351">
        <f>AL3*$D$84</f>
        <v/>
      </c>
      <c r="AM84" s="351">
        <f>AM3*$D$84</f>
        <v/>
      </c>
      <c r="AN84" s="351">
        <f>AN3*$D$84</f>
        <v/>
      </c>
      <c r="AO84" s="351">
        <f>AO3*$D$84</f>
        <v/>
      </c>
      <c r="AP84" s="351">
        <f>AP3*$D$84</f>
        <v/>
      </c>
      <c r="AQ84" s="351">
        <f>AQ3*$D$84</f>
        <v/>
      </c>
      <c r="AR84" s="351">
        <f>AR3*$D$84</f>
        <v/>
      </c>
      <c r="AS84" s="351">
        <f>AS3*$D$84</f>
        <v/>
      </c>
      <c r="AT84" s="351">
        <f>AT3*$D$84</f>
        <v/>
      </c>
      <c r="AU84" s="351">
        <f>AU3*$D$84</f>
        <v/>
      </c>
      <c r="AV84" s="351">
        <f>AV3*$D$84</f>
        <v/>
      </c>
      <c r="AW84" s="351">
        <f>AW3*$D$84</f>
        <v/>
      </c>
      <c r="AX84" s="351">
        <f>AX3*$D$84</f>
        <v/>
      </c>
      <c r="AY84" s="351">
        <f>AY3*$D$84</f>
        <v/>
      </c>
      <c r="AZ84" s="351">
        <f>AZ3*$D$84</f>
        <v/>
      </c>
      <c r="BA84" s="351">
        <f>BA3*$D$84</f>
        <v/>
      </c>
      <c r="BB84" s="351">
        <f>BB3*$D$84</f>
        <v/>
      </c>
      <c r="BC84" s="351">
        <f>BC3*$D$84</f>
        <v/>
      </c>
      <c r="BD84" s="351">
        <f>BD3*$D$84</f>
        <v/>
      </c>
      <c r="BE84" s="351">
        <f>BE3*$D$84</f>
        <v/>
      </c>
      <c r="BF84" s="351">
        <f>BF3*$D$84</f>
        <v/>
      </c>
      <c r="BG84" s="351">
        <f>BG3*$D$84</f>
        <v/>
      </c>
      <c r="BH84" s="351">
        <f>BH3*$D$84</f>
        <v/>
      </c>
      <c r="BI84" s="351">
        <f>BI3*$D$84</f>
        <v/>
      </c>
      <c r="BJ84" s="351">
        <f>BJ3*$D$84</f>
        <v/>
      </c>
      <c r="BK84" s="351">
        <f>BK3*$D$84</f>
        <v/>
      </c>
      <c r="BL84" s="351">
        <f>BL3*$D$84</f>
        <v/>
      </c>
      <c r="BM84" s="354">
        <f>SUM(E84:BL84)</f>
        <v/>
      </c>
    </row>
    <row r="85" ht="13.7" customHeight="1" s="276">
      <c r="A85" s="55">
        <f>A84+1</f>
        <v/>
      </c>
      <c r="B85" s="280" t="inlineStr">
        <is>
          <t>Centro Tecnológico</t>
        </is>
      </c>
      <c r="C85" s="255" t="n"/>
      <c r="D85" s="56" t="n">
        <v>0.01</v>
      </c>
      <c r="E85" s="351">
        <f>E3*$D$85</f>
        <v/>
      </c>
      <c r="F85" s="351">
        <f>F3*$D$85</f>
        <v/>
      </c>
      <c r="G85" s="351">
        <f>G3*$D$85</f>
        <v/>
      </c>
      <c r="H85" s="351">
        <f>H3*$D$85</f>
        <v/>
      </c>
      <c r="I85" s="351">
        <f>I3*$D$85</f>
        <v/>
      </c>
      <c r="J85" s="351">
        <f>J3*$D$85</f>
        <v/>
      </c>
      <c r="K85" s="351">
        <f>K3*$D$85</f>
        <v/>
      </c>
      <c r="L85" s="351">
        <f>L3*$D$85</f>
        <v/>
      </c>
      <c r="M85" s="351">
        <f>M3*$D$85</f>
        <v/>
      </c>
      <c r="N85" s="351">
        <f>N3*$D$85</f>
        <v/>
      </c>
      <c r="O85" s="351">
        <f>O3*$D$85</f>
        <v/>
      </c>
      <c r="P85" s="351">
        <f>P3*$D$85</f>
        <v/>
      </c>
      <c r="Q85" s="351">
        <f>Q3*$D$85</f>
        <v/>
      </c>
      <c r="R85" s="351">
        <f>R3*$D$85</f>
        <v/>
      </c>
      <c r="S85" s="351">
        <f>S3*$D$85</f>
        <v/>
      </c>
      <c r="T85" s="351">
        <f>T3*$D$85</f>
        <v/>
      </c>
      <c r="U85" s="351">
        <f>U3*$D$85</f>
        <v/>
      </c>
      <c r="V85" s="351">
        <f>V3*$D$85</f>
        <v/>
      </c>
      <c r="W85" s="351">
        <f>W3*$D$85</f>
        <v/>
      </c>
      <c r="X85" s="351">
        <f>X3*$D$85</f>
        <v/>
      </c>
      <c r="Y85" s="351">
        <f>Y3*$D$85</f>
        <v/>
      </c>
      <c r="Z85" s="351">
        <f>Z3*$D$85</f>
        <v/>
      </c>
      <c r="AA85" s="351">
        <f>AA3*$D$85</f>
        <v/>
      </c>
      <c r="AB85" s="351">
        <f>AB3*$D$85</f>
        <v/>
      </c>
      <c r="AC85" s="351">
        <f>AC3*$D$85</f>
        <v/>
      </c>
      <c r="AD85" s="351">
        <f>AD3*$D$85</f>
        <v/>
      </c>
      <c r="AE85" s="351">
        <f>AE3*$D$85</f>
        <v/>
      </c>
      <c r="AF85" s="351">
        <f>AF3*$D$85</f>
        <v/>
      </c>
      <c r="AG85" s="351">
        <f>AG3*$D$85</f>
        <v/>
      </c>
      <c r="AH85" s="351">
        <f>AH3*$D$85</f>
        <v/>
      </c>
      <c r="AI85" s="351">
        <f>AI3*$D$85</f>
        <v/>
      </c>
      <c r="AJ85" s="351">
        <f>AJ3*$D$85</f>
        <v/>
      </c>
      <c r="AK85" s="351">
        <f>AK3*$D$85</f>
        <v/>
      </c>
      <c r="AL85" s="351">
        <f>AL3*$D$85</f>
        <v/>
      </c>
      <c r="AM85" s="351">
        <f>AM3*$D$85</f>
        <v/>
      </c>
      <c r="AN85" s="351">
        <f>AN3*$D$85</f>
        <v/>
      </c>
      <c r="AO85" s="351">
        <f>AO3*$D$85</f>
        <v/>
      </c>
      <c r="AP85" s="351">
        <f>AP3*$D$85</f>
        <v/>
      </c>
      <c r="AQ85" s="351">
        <f>AQ3*$D$85</f>
        <v/>
      </c>
      <c r="AR85" s="351">
        <f>AR3*$D$85</f>
        <v/>
      </c>
      <c r="AS85" s="351">
        <f>AS3*$D$85</f>
        <v/>
      </c>
      <c r="AT85" s="351">
        <f>AT3*$D$85</f>
        <v/>
      </c>
      <c r="AU85" s="351">
        <f>AU3*$D$85</f>
        <v/>
      </c>
      <c r="AV85" s="351">
        <f>AV3*$D$85</f>
        <v/>
      </c>
      <c r="AW85" s="351">
        <f>AW3*$D$85</f>
        <v/>
      </c>
      <c r="AX85" s="351">
        <f>AX3*$D$85</f>
        <v/>
      </c>
      <c r="AY85" s="351">
        <f>AY3*$D$85</f>
        <v/>
      </c>
      <c r="AZ85" s="351">
        <f>AZ3*$D$85</f>
        <v/>
      </c>
      <c r="BA85" s="351">
        <f>BA3*$D$85</f>
        <v/>
      </c>
      <c r="BB85" s="351">
        <f>BB3*$D$85</f>
        <v/>
      </c>
      <c r="BC85" s="351">
        <f>BC3*$D$85</f>
        <v/>
      </c>
      <c r="BD85" s="351">
        <f>BD3*$D$85</f>
        <v/>
      </c>
      <c r="BE85" s="351">
        <f>BE3*$D$85</f>
        <v/>
      </c>
      <c r="BF85" s="351">
        <f>BF3*$D$85</f>
        <v/>
      </c>
      <c r="BG85" s="351">
        <f>BG3*$D$85</f>
        <v/>
      </c>
      <c r="BH85" s="351">
        <f>BH3*$D$85</f>
        <v/>
      </c>
      <c r="BI85" s="351">
        <f>BI3*$D$85</f>
        <v/>
      </c>
      <c r="BJ85" s="351">
        <f>BJ3*$D$85</f>
        <v/>
      </c>
      <c r="BK85" s="351">
        <f>BK3*$D$85</f>
        <v/>
      </c>
      <c r="BL85" s="351">
        <f>BL3*$D$85</f>
        <v/>
      </c>
      <c r="BM85" s="354">
        <f>SUM(E85:BL85)</f>
        <v/>
      </c>
    </row>
    <row r="86" ht="13.7" customHeight="1" s="276">
      <c r="A86" s="55">
        <f>A85+1</f>
        <v/>
      </c>
      <c r="B86" s="280" t="inlineStr">
        <is>
          <t>E.C.V.</t>
        </is>
      </c>
      <c r="C86" s="255" t="n"/>
      <c r="D86" s="56" t="n">
        <v>0.02</v>
      </c>
      <c r="E86" s="351">
        <f>E3*$D$86</f>
        <v/>
      </c>
      <c r="F86" s="351">
        <f>F3*$D$86</f>
        <v/>
      </c>
      <c r="G86" s="351">
        <f>G3*$D$86</f>
        <v/>
      </c>
      <c r="H86" s="351">
        <f>H3*$D$86</f>
        <v/>
      </c>
      <c r="I86" s="351">
        <f>I3*$D$86</f>
        <v/>
      </c>
      <c r="J86" s="351">
        <f>J3*$D$86</f>
        <v/>
      </c>
      <c r="K86" s="351">
        <f>K3*$D$86</f>
        <v/>
      </c>
      <c r="L86" s="351">
        <f>L3*$D$86</f>
        <v/>
      </c>
      <c r="M86" s="351">
        <f>M3*$D$86</f>
        <v/>
      </c>
      <c r="N86" s="351">
        <f>N3*$D$86</f>
        <v/>
      </c>
      <c r="O86" s="351">
        <f>O3*$D$86</f>
        <v/>
      </c>
      <c r="P86" s="351">
        <f>P3*$D$86</f>
        <v/>
      </c>
      <c r="Q86" s="351">
        <f>Q3*$D$86</f>
        <v/>
      </c>
      <c r="R86" s="351">
        <f>R3*$D$86</f>
        <v/>
      </c>
      <c r="S86" s="351">
        <f>S3*$D$86</f>
        <v/>
      </c>
      <c r="T86" s="351">
        <f>T3*$D$86</f>
        <v/>
      </c>
      <c r="U86" s="351">
        <f>U3*$D$86</f>
        <v/>
      </c>
      <c r="V86" s="351">
        <f>V3*$D$86</f>
        <v/>
      </c>
      <c r="W86" s="351">
        <f>W3*$D$86</f>
        <v/>
      </c>
      <c r="X86" s="351">
        <f>X3*$D$86</f>
        <v/>
      </c>
      <c r="Y86" s="351">
        <f>Y3*$D$86</f>
        <v/>
      </c>
      <c r="Z86" s="351">
        <f>Z3*$D$86</f>
        <v/>
      </c>
      <c r="AA86" s="351">
        <f>AA3*$D$86</f>
        <v/>
      </c>
      <c r="AB86" s="351">
        <f>AB3*$D$86</f>
        <v/>
      </c>
      <c r="AC86" s="351">
        <f>AC3*$D$86</f>
        <v/>
      </c>
      <c r="AD86" s="351">
        <f>AD3*$D$86</f>
        <v/>
      </c>
      <c r="AE86" s="351">
        <f>AE3*$D$86</f>
        <v/>
      </c>
      <c r="AF86" s="351">
        <f>AF3*$D$86</f>
        <v/>
      </c>
      <c r="AG86" s="351">
        <f>AG3*$D$86</f>
        <v/>
      </c>
      <c r="AH86" s="351">
        <f>AH3*$D$86</f>
        <v/>
      </c>
      <c r="AI86" s="351">
        <f>AI3*$D$86</f>
        <v/>
      </c>
      <c r="AJ86" s="351">
        <f>AJ3*$D$86</f>
        <v/>
      </c>
      <c r="AK86" s="351">
        <f>AK3*$D$86</f>
        <v/>
      </c>
      <c r="AL86" s="351">
        <f>AL3*$D$86</f>
        <v/>
      </c>
      <c r="AM86" s="351">
        <f>AM3*$D$86</f>
        <v/>
      </c>
      <c r="AN86" s="351">
        <f>AN3*$D$86</f>
        <v/>
      </c>
      <c r="AO86" s="351">
        <f>AO3*$D$86</f>
        <v/>
      </c>
      <c r="AP86" s="351">
        <f>AP3*$D$86</f>
        <v/>
      </c>
      <c r="AQ86" s="351">
        <f>AQ3*$D$86</f>
        <v/>
      </c>
      <c r="AR86" s="351">
        <f>AR3*$D$86</f>
        <v/>
      </c>
      <c r="AS86" s="351">
        <f>AS3*$D$86</f>
        <v/>
      </c>
      <c r="AT86" s="351">
        <f>AT3*$D$86</f>
        <v/>
      </c>
      <c r="AU86" s="351">
        <f>AU3*$D$86</f>
        <v/>
      </c>
      <c r="AV86" s="351">
        <f>AV3*$D$86</f>
        <v/>
      </c>
      <c r="AW86" s="351">
        <f>AW3*$D$86</f>
        <v/>
      </c>
      <c r="AX86" s="351">
        <f>AX3*$D$86</f>
        <v/>
      </c>
      <c r="AY86" s="351">
        <f>AY3*$D$86</f>
        <v/>
      </c>
      <c r="AZ86" s="351">
        <f>AZ3*$D$86</f>
        <v/>
      </c>
      <c r="BA86" s="351">
        <f>BA3*$D$86</f>
        <v/>
      </c>
      <c r="BB86" s="351">
        <f>BB3*$D$86</f>
        <v/>
      </c>
      <c r="BC86" s="351">
        <f>BC3*$D$86</f>
        <v/>
      </c>
      <c r="BD86" s="351">
        <f>BD3*$D$86</f>
        <v/>
      </c>
      <c r="BE86" s="351">
        <f>BE3*$D$86</f>
        <v/>
      </c>
      <c r="BF86" s="351">
        <f>BF3*$D$86</f>
        <v/>
      </c>
      <c r="BG86" s="351">
        <f>BG3*$D$86</f>
        <v/>
      </c>
      <c r="BH86" s="351">
        <f>BH3*$D$86</f>
        <v/>
      </c>
      <c r="BI86" s="351">
        <f>BI3*$D$86</f>
        <v/>
      </c>
      <c r="BJ86" s="351">
        <f>BJ3*$D$86</f>
        <v/>
      </c>
      <c r="BK86" s="351">
        <f>BK3*$D$86</f>
        <v/>
      </c>
      <c r="BL86" s="351">
        <f>BL3*$D$86</f>
        <v/>
      </c>
      <c r="BM86" s="354">
        <f>SUM(E86:BL86)</f>
        <v/>
      </c>
    </row>
    <row r="87" ht="13.7" customHeight="1" s="276">
      <c r="A87" s="55">
        <f>A86+1</f>
        <v/>
      </c>
      <c r="B87" s="280" t="inlineStr">
        <is>
          <t>UFSC</t>
        </is>
      </c>
      <c r="C87" s="255" t="n"/>
      <c r="D87" s="56" t="n">
        <v>0.04</v>
      </c>
      <c r="E87" s="351">
        <f>E3*$D$87</f>
        <v/>
      </c>
      <c r="F87" s="351">
        <f>F3*$D$87</f>
        <v/>
      </c>
      <c r="G87" s="351">
        <f>G3*$D$87</f>
        <v/>
      </c>
      <c r="H87" s="351">
        <f>H3*$D$87</f>
        <v/>
      </c>
      <c r="I87" s="351">
        <f>I3*$D$87</f>
        <v/>
      </c>
      <c r="J87" s="351">
        <f>J3*$D$87</f>
        <v/>
      </c>
      <c r="K87" s="351">
        <f>K3*$D$87</f>
        <v/>
      </c>
      <c r="L87" s="351">
        <f>L3*$D$87</f>
        <v/>
      </c>
      <c r="M87" s="351">
        <f>M3*$D$87</f>
        <v/>
      </c>
      <c r="N87" s="351">
        <f>N3*$D$87</f>
        <v/>
      </c>
      <c r="O87" s="351">
        <f>O3*$D$87</f>
        <v/>
      </c>
      <c r="P87" s="351">
        <f>P3*$D$87</f>
        <v/>
      </c>
      <c r="Q87" s="351">
        <f>Q3*$D$87</f>
        <v/>
      </c>
      <c r="R87" s="351">
        <f>R3*$D$87</f>
        <v/>
      </c>
      <c r="S87" s="351">
        <f>S3*$D$87</f>
        <v/>
      </c>
      <c r="T87" s="351">
        <f>T3*$D$87</f>
        <v/>
      </c>
      <c r="U87" s="351">
        <f>U3*$D$87</f>
        <v/>
      </c>
      <c r="V87" s="351">
        <f>V3*$D$87</f>
        <v/>
      </c>
      <c r="W87" s="351">
        <f>W3*$D$87</f>
        <v/>
      </c>
      <c r="X87" s="351">
        <f>X3*$D$87</f>
        <v/>
      </c>
      <c r="Y87" s="351">
        <f>Y3*$D$87</f>
        <v/>
      </c>
      <c r="Z87" s="351">
        <f>Z3*$D$87</f>
        <v/>
      </c>
      <c r="AA87" s="351">
        <f>AA3*$D$87</f>
        <v/>
      </c>
      <c r="AB87" s="351">
        <f>AB3*$D$87</f>
        <v/>
      </c>
      <c r="AC87" s="351">
        <f>AC3*$D$87</f>
        <v/>
      </c>
      <c r="AD87" s="351">
        <f>AD3*$D$87</f>
        <v/>
      </c>
      <c r="AE87" s="351">
        <f>AE3*$D$87</f>
        <v/>
      </c>
      <c r="AF87" s="351">
        <f>AF3*$D$87</f>
        <v/>
      </c>
      <c r="AG87" s="351">
        <f>AG3*$D$87</f>
        <v/>
      </c>
      <c r="AH87" s="351">
        <f>AH3*$D$87</f>
        <v/>
      </c>
      <c r="AI87" s="351">
        <f>AI3*$D$87</f>
        <v/>
      </c>
      <c r="AJ87" s="351">
        <f>AJ3*$D$87</f>
        <v/>
      </c>
      <c r="AK87" s="351">
        <f>AK3*$D$87</f>
        <v/>
      </c>
      <c r="AL87" s="351">
        <f>AL3*$D$87</f>
        <v/>
      </c>
      <c r="AM87" s="351">
        <f>AM3*$D$87</f>
        <v/>
      </c>
      <c r="AN87" s="351">
        <f>AN3*$D$87</f>
        <v/>
      </c>
      <c r="AO87" s="351">
        <f>AO3*$D$87</f>
        <v/>
      </c>
      <c r="AP87" s="351">
        <f>AP3*$D$87</f>
        <v/>
      </c>
      <c r="AQ87" s="351">
        <f>AQ3*$D$87</f>
        <v/>
      </c>
      <c r="AR87" s="351">
        <f>AR3*$D$87</f>
        <v/>
      </c>
      <c r="AS87" s="351">
        <f>AS3*$D$87</f>
        <v/>
      </c>
      <c r="AT87" s="351">
        <f>AT3*$D$87</f>
        <v/>
      </c>
      <c r="AU87" s="351">
        <f>AU3*$D$87</f>
        <v/>
      </c>
      <c r="AV87" s="351">
        <f>AV3*$D$87</f>
        <v/>
      </c>
      <c r="AW87" s="351">
        <f>AW3*$D$87</f>
        <v/>
      </c>
      <c r="AX87" s="351">
        <f>AX3*$D$87</f>
        <v/>
      </c>
      <c r="AY87" s="351">
        <f>AY3*$D$87</f>
        <v/>
      </c>
      <c r="AZ87" s="351">
        <f>AZ3*$D$87</f>
        <v/>
      </c>
      <c r="BA87" s="351">
        <f>BA3*$D$87</f>
        <v/>
      </c>
      <c r="BB87" s="351">
        <f>BB3*$D$87</f>
        <v/>
      </c>
      <c r="BC87" s="351">
        <f>BC3*$D$87</f>
        <v/>
      </c>
      <c r="BD87" s="351">
        <f>BD3*$D$87</f>
        <v/>
      </c>
      <c r="BE87" s="351">
        <f>BE3*$D$87</f>
        <v/>
      </c>
      <c r="BF87" s="351">
        <f>BF3*$D$87</f>
        <v/>
      </c>
      <c r="BG87" s="351">
        <f>BG3*$D$87</f>
        <v/>
      </c>
      <c r="BH87" s="351">
        <f>BH3*$D$87</f>
        <v/>
      </c>
      <c r="BI87" s="351">
        <f>BI3*$D$87</f>
        <v/>
      </c>
      <c r="BJ87" s="351">
        <f>BJ3*$D$87</f>
        <v/>
      </c>
      <c r="BK87" s="351">
        <f>BK3*$D$87</f>
        <v/>
      </c>
      <c r="BL87" s="351">
        <f>BL3*$D$87</f>
        <v/>
      </c>
      <c r="BM87" s="354">
        <f>SUM(E87:BL87)</f>
        <v/>
      </c>
    </row>
    <row r="88" ht="13.7" customHeight="1" s="276">
      <c r="A88" s="282" t="inlineStr">
        <is>
          <t>subtotal2</t>
        </is>
      </c>
      <c r="B88" s="257" t="n"/>
      <c r="C88" s="257" t="n"/>
      <c r="D88" s="255" t="n"/>
      <c r="E88" s="353">
        <f>SUM(E84:E87)</f>
        <v/>
      </c>
      <c r="F88" s="353">
        <f>SUM(F84:F87)</f>
        <v/>
      </c>
      <c r="G88" s="353">
        <f>SUM(G84:G87)</f>
        <v/>
      </c>
      <c r="H88" s="353">
        <f>SUM(H84:H87)</f>
        <v/>
      </c>
      <c r="I88" s="353">
        <f>SUM(I84:I87)</f>
        <v/>
      </c>
      <c r="J88" s="353">
        <f>SUM(J84:J87)</f>
        <v/>
      </c>
      <c r="K88" s="353">
        <f>SUM(K84:K87)</f>
        <v/>
      </c>
      <c r="L88" s="353">
        <f>SUM(L84:L87)</f>
        <v/>
      </c>
      <c r="M88" s="353">
        <f>SUM(M84:M87)</f>
        <v/>
      </c>
      <c r="N88" s="353">
        <f>SUM(N84:N87)</f>
        <v/>
      </c>
      <c r="O88" s="353">
        <f>SUM(O84:O87)</f>
        <v/>
      </c>
      <c r="P88" s="353">
        <f>SUM(P84:P87)</f>
        <v/>
      </c>
      <c r="Q88" s="353">
        <f>SUM(Q84:Q87)</f>
        <v/>
      </c>
      <c r="R88" s="353">
        <f>SUM(R84:R87)</f>
        <v/>
      </c>
      <c r="S88" s="353">
        <f>SUM(S84:S87)</f>
        <v/>
      </c>
      <c r="T88" s="353">
        <f>SUM(T84:T87)</f>
        <v/>
      </c>
      <c r="U88" s="353">
        <f>SUM(U84:U87)</f>
        <v/>
      </c>
      <c r="V88" s="353">
        <f>SUM(V84:V87)</f>
        <v/>
      </c>
      <c r="W88" s="353">
        <f>SUM(W84:W87)</f>
        <v/>
      </c>
      <c r="X88" s="353">
        <f>SUM(X84:X87)</f>
        <v/>
      </c>
      <c r="Y88" s="353">
        <f>SUM(Y84:Y87)</f>
        <v/>
      </c>
      <c r="Z88" s="353">
        <f>SUM(Z84:Z87)</f>
        <v/>
      </c>
      <c r="AA88" s="353">
        <f>SUM(AA84:AA87)</f>
        <v/>
      </c>
      <c r="AB88" s="353">
        <f>SUM(AB84:AB87)</f>
        <v/>
      </c>
      <c r="AC88" s="353">
        <f>SUM(AC84:AC87)</f>
        <v/>
      </c>
      <c r="AD88" s="353">
        <f>SUM(AD84:AD87)</f>
        <v/>
      </c>
      <c r="AE88" s="353">
        <f>SUM(AE84:AE87)</f>
        <v/>
      </c>
      <c r="AF88" s="353">
        <f>SUM(AF84:AF87)</f>
        <v/>
      </c>
      <c r="AG88" s="353">
        <f>SUM(AG84:AG87)</f>
        <v/>
      </c>
      <c r="AH88" s="353">
        <f>SUM(AH84:AH87)</f>
        <v/>
      </c>
      <c r="AI88" s="353">
        <f>SUM(AI84:AI87)</f>
        <v/>
      </c>
      <c r="AJ88" s="353">
        <f>SUM(AJ84:AJ87)</f>
        <v/>
      </c>
      <c r="AK88" s="353">
        <f>SUM(AK84:AK87)</f>
        <v/>
      </c>
      <c r="AL88" s="353">
        <f>SUM(AL84:AL87)</f>
        <v/>
      </c>
      <c r="AM88" s="353">
        <f>SUM(AM84:AM87)</f>
        <v/>
      </c>
      <c r="AN88" s="353">
        <f>SUM(AN84:AN87)</f>
        <v/>
      </c>
      <c r="AO88" s="353">
        <f>SUM(AO84:AO87)</f>
        <v/>
      </c>
      <c r="AP88" s="353">
        <f>SUM(AP84:AP87)</f>
        <v/>
      </c>
      <c r="AQ88" s="353">
        <f>SUM(AQ84:AQ87)</f>
        <v/>
      </c>
      <c r="AR88" s="353">
        <f>SUM(AR84:AR87)</f>
        <v/>
      </c>
      <c r="AS88" s="353">
        <f>SUM(AS84:AS87)</f>
        <v/>
      </c>
      <c r="AT88" s="353">
        <f>SUM(AT84:AT87)</f>
        <v/>
      </c>
      <c r="AU88" s="353">
        <f>SUM(AU84:AU87)</f>
        <v/>
      </c>
      <c r="AV88" s="353">
        <f>SUM(AV84:AV87)</f>
        <v/>
      </c>
      <c r="AW88" s="353">
        <f>SUM(AW84:AW87)</f>
        <v/>
      </c>
      <c r="AX88" s="353">
        <f>SUM(AX84:AX87)</f>
        <v/>
      </c>
      <c r="AY88" s="353">
        <f>SUM(AY84:AY87)</f>
        <v/>
      </c>
      <c r="AZ88" s="353">
        <f>SUM(AZ84:AZ87)</f>
        <v/>
      </c>
      <c r="BA88" s="353">
        <f>SUM(BA84:BA87)</f>
        <v/>
      </c>
      <c r="BB88" s="353">
        <f>SUM(BB84:BB87)</f>
        <v/>
      </c>
      <c r="BC88" s="353">
        <f>SUM(BC84:BC87)</f>
        <v/>
      </c>
      <c r="BD88" s="353">
        <f>SUM(BD84:BD87)</f>
        <v/>
      </c>
      <c r="BE88" s="353">
        <f>SUM(BE84:BE87)</f>
        <v/>
      </c>
      <c r="BF88" s="353">
        <f>SUM(BF84:BF87)</f>
        <v/>
      </c>
      <c r="BG88" s="353">
        <f>SUM(BG84:BG87)</f>
        <v/>
      </c>
      <c r="BH88" s="353">
        <f>SUM(BH84:BH87)</f>
        <v/>
      </c>
      <c r="BI88" s="353">
        <f>SUM(BI84:BI87)</f>
        <v/>
      </c>
      <c r="BJ88" s="353">
        <f>SUM(BJ84:BJ87)</f>
        <v/>
      </c>
      <c r="BK88" s="353">
        <f>SUM(BK84:BK87)</f>
        <v/>
      </c>
      <c r="BL88" s="353">
        <f>SUM(BL84:BL87)</f>
        <v/>
      </c>
      <c r="BM88" s="353">
        <f>SUM(BM84:BM87)</f>
        <v/>
      </c>
    </row>
    <row r="89" ht="13.7" customHeight="1" s="276">
      <c r="A89" s="285" t="inlineStr">
        <is>
          <t>Total Despesas</t>
        </is>
      </c>
      <c r="B89" s="257" t="n"/>
      <c r="C89" s="257" t="n"/>
      <c r="D89" s="255" t="n"/>
      <c r="E89" s="355">
        <f>E88+E83</f>
        <v/>
      </c>
      <c r="F89" s="355">
        <f>F88+F83</f>
        <v/>
      </c>
      <c r="G89" s="355">
        <f>G88+G83</f>
        <v/>
      </c>
      <c r="H89" s="355">
        <f>H88+H83</f>
        <v/>
      </c>
      <c r="I89" s="355">
        <f>I88+I83</f>
        <v/>
      </c>
      <c r="J89" s="355">
        <f>J88+J83</f>
        <v/>
      </c>
      <c r="K89" s="355">
        <f>K88+K83</f>
        <v/>
      </c>
      <c r="L89" s="355">
        <f>L88+L83</f>
        <v/>
      </c>
      <c r="M89" s="355">
        <f>M88+M83</f>
        <v/>
      </c>
      <c r="N89" s="355">
        <f>N88+N83</f>
        <v/>
      </c>
      <c r="O89" s="355">
        <f>O88+O83</f>
        <v/>
      </c>
      <c r="P89" s="355">
        <f>P88+P83</f>
        <v/>
      </c>
      <c r="Q89" s="355">
        <f>Q88+Q83</f>
        <v/>
      </c>
      <c r="R89" s="355">
        <f>R88+R83</f>
        <v/>
      </c>
      <c r="S89" s="355">
        <f>S88+S83</f>
        <v/>
      </c>
      <c r="T89" s="355">
        <f>T88+T83</f>
        <v/>
      </c>
      <c r="U89" s="355">
        <f>U88+U83</f>
        <v/>
      </c>
      <c r="V89" s="355">
        <f>V88+V83</f>
        <v/>
      </c>
      <c r="W89" s="355">
        <f>W88+W83</f>
        <v/>
      </c>
      <c r="X89" s="355">
        <f>X88+X83</f>
        <v/>
      </c>
      <c r="Y89" s="355">
        <f>Y88+Y83</f>
        <v/>
      </c>
      <c r="Z89" s="355">
        <f>Z88+Z83</f>
        <v/>
      </c>
      <c r="AA89" s="355">
        <f>AA88+AA83</f>
        <v/>
      </c>
      <c r="AB89" s="355">
        <f>AB88+AB83</f>
        <v/>
      </c>
      <c r="AC89" s="355">
        <f>AC88+AC83</f>
        <v/>
      </c>
      <c r="AD89" s="355">
        <f>AD88+AD83</f>
        <v/>
      </c>
      <c r="AE89" s="355">
        <f>AE88+AE83</f>
        <v/>
      </c>
      <c r="AF89" s="355">
        <f>AF88+AF83</f>
        <v/>
      </c>
      <c r="AG89" s="355">
        <f>AG88+AG83</f>
        <v/>
      </c>
      <c r="AH89" s="355">
        <f>AH88+AH83</f>
        <v/>
      </c>
      <c r="AI89" s="355">
        <f>AI88+AI83</f>
        <v/>
      </c>
      <c r="AJ89" s="355">
        <f>AJ88+AJ83</f>
        <v/>
      </c>
      <c r="AK89" s="355">
        <f>AK88+AK83</f>
        <v/>
      </c>
      <c r="AL89" s="355">
        <f>AL88+AL83</f>
        <v/>
      </c>
      <c r="AM89" s="355">
        <f>AM88+AM83</f>
        <v/>
      </c>
      <c r="AN89" s="355">
        <f>AN88+AN83</f>
        <v/>
      </c>
      <c r="AO89" s="355">
        <f>AO88+AO83</f>
        <v/>
      </c>
      <c r="AP89" s="355">
        <f>AP88+AP83</f>
        <v/>
      </c>
      <c r="AQ89" s="355">
        <f>AQ88+AQ83</f>
        <v/>
      </c>
      <c r="AR89" s="355">
        <f>AR88+AR83</f>
        <v/>
      </c>
      <c r="AS89" s="355">
        <f>AS88+AS83</f>
        <v/>
      </c>
      <c r="AT89" s="355">
        <f>AT88+AT83</f>
        <v/>
      </c>
      <c r="AU89" s="355">
        <f>AU88+AU83</f>
        <v/>
      </c>
      <c r="AV89" s="355">
        <f>AV88+AV83</f>
        <v/>
      </c>
      <c r="AW89" s="355">
        <f>AW88+AW83</f>
        <v/>
      </c>
      <c r="AX89" s="355">
        <f>AX88+AX83</f>
        <v/>
      </c>
      <c r="AY89" s="355">
        <f>AY88+AY83</f>
        <v/>
      </c>
      <c r="AZ89" s="355">
        <f>AZ88+AZ83</f>
        <v/>
      </c>
      <c r="BA89" s="355">
        <f>BA88+BA83</f>
        <v/>
      </c>
      <c r="BB89" s="355">
        <f>BB88+BB83</f>
        <v/>
      </c>
      <c r="BC89" s="355">
        <f>BC88+BC83</f>
        <v/>
      </c>
      <c r="BD89" s="355">
        <f>BD88+BD83</f>
        <v/>
      </c>
      <c r="BE89" s="355">
        <f>BE88+BE83</f>
        <v/>
      </c>
      <c r="BF89" s="355">
        <f>BF88+BF83</f>
        <v/>
      </c>
      <c r="BG89" s="355">
        <f>BG88+BG83</f>
        <v/>
      </c>
      <c r="BH89" s="355">
        <f>BH88+BH83</f>
        <v/>
      </c>
      <c r="BI89" s="355">
        <f>BI88+BI83</f>
        <v/>
      </c>
      <c r="BJ89" s="355">
        <f>BJ88+BJ83</f>
        <v/>
      </c>
      <c r="BK89" s="355">
        <f>BK88+BK83</f>
        <v/>
      </c>
      <c r="BL89" s="355">
        <f>BL88+BL83</f>
        <v/>
      </c>
      <c r="BM89" s="355">
        <f>BM88+BM83</f>
        <v/>
      </c>
    </row>
    <row r="90" ht="13.7" customHeight="1" s="276">
      <c r="A90" s="356" t="inlineStr">
        <is>
          <t>Saldos</t>
        </is>
      </c>
      <c r="B90" s="257" t="n"/>
      <c r="C90" s="255" t="n"/>
      <c r="D90" s="57">
        <f>H102</f>
        <v/>
      </c>
      <c r="E90" s="57">
        <f>D90+E3-E89</f>
        <v/>
      </c>
      <c r="F90" s="57">
        <f>E90+F3-F89</f>
        <v/>
      </c>
      <c r="G90" s="57">
        <f>F90+G3-G89</f>
        <v/>
      </c>
      <c r="H90" s="57">
        <f>G90+H3-H89</f>
        <v/>
      </c>
      <c r="I90" s="57">
        <f>H90+I3-I89</f>
        <v/>
      </c>
      <c r="J90" s="57">
        <f>I90+J3-J89</f>
        <v/>
      </c>
      <c r="K90" s="57">
        <f>J90+K3-K89</f>
        <v/>
      </c>
      <c r="L90" s="57">
        <f>K90+L3-L89</f>
        <v/>
      </c>
      <c r="M90" s="57">
        <f>L90+M3-M89</f>
        <v/>
      </c>
      <c r="N90" s="57">
        <f>M90+N3-N89</f>
        <v/>
      </c>
      <c r="O90" s="57">
        <f>N90+O3-O89</f>
        <v/>
      </c>
      <c r="P90" s="57">
        <f>O90+P3-P89</f>
        <v/>
      </c>
      <c r="Q90" s="57">
        <f>P90+Q3-Q89</f>
        <v/>
      </c>
      <c r="R90" s="57">
        <f>Q90+R3-R89</f>
        <v/>
      </c>
      <c r="S90" s="57">
        <f>R90+S3-S89</f>
        <v/>
      </c>
      <c r="T90" s="57">
        <f>S90+T3-T89</f>
        <v/>
      </c>
      <c r="U90" s="57">
        <f>T90+U3-U89</f>
        <v/>
      </c>
      <c r="V90" s="57">
        <f>U90+V3-V89</f>
        <v/>
      </c>
      <c r="W90" s="57">
        <f>V90+W3-W89</f>
        <v/>
      </c>
      <c r="X90" s="57">
        <f>W90+X3-X89</f>
        <v/>
      </c>
      <c r="Y90" s="57">
        <f>X90+Y3-Y89</f>
        <v/>
      </c>
      <c r="Z90" s="57">
        <f>Y90+Z3-Z89</f>
        <v/>
      </c>
      <c r="AA90" s="57">
        <f>Z90+AA3-AA89</f>
        <v/>
      </c>
      <c r="AB90" s="57">
        <f>AA90+AB3-AB89</f>
        <v/>
      </c>
      <c r="AC90" s="57">
        <f>AB90+AC3-AC89</f>
        <v/>
      </c>
      <c r="AD90" s="57">
        <f>AC90+AD3-AD89</f>
        <v/>
      </c>
      <c r="AE90" s="57">
        <f>AD90+AE3-AE89</f>
        <v/>
      </c>
      <c r="AF90" s="57">
        <f>AE90+AF3-AF89</f>
        <v/>
      </c>
      <c r="AG90" s="57">
        <f>AF90+AG3-AG89</f>
        <v/>
      </c>
      <c r="AH90" s="57">
        <f>AG90+AH3-AH89</f>
        <v/>
      </c>
      <c r="AI90" s="57">
        <f>AH90+AI3-AI89</f>
        <v/>
      </c>
      <c r="AJ90" s="57">
        <f>AI90+AJ3-AJ89</f>
        <v/>
      </c>
      <c r="AK90" s="57">
        <f>AJ90+AK3-AK89</f>
        <v/>
      </c>
      <c r="AL90" s="57">
        <f>AK90+AL3-AL89</f>
        <v/>
      </c>
      <c r="AM90" s="57">
        <f>AL90+AM3-AM89</f>
        <v/>
      </c>
      <c r="AN90" s="57">
        <f>AM90+AN3-AN89</f>
        <v/>
      </c>
      <c r="AO90" s="57">
        <f>AN90+AO3-AO89</f>
        <v/>
      </c>
      <c r="AP90" s="57">
        <f>AO90+AP3-AP89</f>
        <v/>
      </c>
      <c r="AQ90" s="57">
        <f>AP90+AQ3-AQ89</f>
        <v/>
      </c>
      <c r="AR90" s="57">
        <f>AQ90+AR3-AR89</f>
        <v/>
      </c>
      <c r="AS90" s="57">
        <f>AR90+AS3-AS89</f>
        <v/>
      </c>
      <c r="AT90" s="57">
        <f>AS90+AT3-AT89</f>
        <v/>
      </c>
      <c r="AU90" s="57">
        <f>AT90+AU3-AU89</f>
        <v/>
      </c>
      <c r="AV90" s="57">
        <f>AU90+AV3-AV89</f>
        <v/>
      </c>
      <c r="AW90" s="57">
        <f>AV90+AW3-AW89</f>
        <v/>
      </c>
      <c r="AX90" s="57">
        <f>AW90+AX3-AX89</f>
        <v/>
      </c>
      <c r="AY90" s="57">
        <f>AX90+AY3-AY89</f>
        <v/>
      </c>
      <c r="AZ90" s="57">
        <f>AY90+AZ3-AZ89</f>
        <v/>
      </c>
      <c r="BA90" s="57">
        <f>AZ90+BA3-BA89</f>
        <v/>
      </c>
      <c r="BB90" s="57">
        <f>BA90+BB3-BB89</f>
        <v/>
      </c>
      <c r="BC90" s="57">
        <f>BB90+BC3-BC89</f>
        <v/>
      </c>
      <c r="BD90" s="57">
        <f>BC90+BD3-BD89</f>
        <v/>
      </c>
      <c r="BE90" s="57">
        <f>BD90+BE3-BE89</f>
        <v/>
      </c>
      <c r="BF90" s="57">
        <f>BE90+BF3-BF89</f>
        <v/>
      </c>
      <c r="BG90" s="57">
        <f>BF90+BG3-BG89</f>
        <v/>
      </c>
      <c r="BH90" s="57">
        <f>BG90+BH3-BH89</f>
        <v/>
      </c>
      <c r="BI90" s="57">
        <f>BH90+BI3-BI89</f>
        <v/>
      </c>
      <c r="BJ90" s="57">
        <f>BI90+BJ3-BJ89</f>
        <v/>
      </c>
      <c r="BK90" s="57">
        <f>BJ90+BK3-BK89</f>
        <v/>
      </c>
      <c r="BL90" s="57">
        <f>BK90+BL3-BL89</f>
        <v/>
      </c>
      <c r="BM90" s="58">
        <f>D90+BM3-D3-BM89</f>
        <v/>
      </c>
    </row>
    <row r="91" ht="13.35" customHeight="1" s="276">
      <c r="B91" s="60" t="n"/>
      <c r="C91" s="357" t="n"/>
      <c r="D91" s="357" t="n"/>
      <c r="E91" s="358" t="n"/>
      <c r="F91" s="358" t="n"/>
      <c r="G91" s="358" t="n"/>
      <c r="H91" s="358" t="n"/>
      <c r="I91" s="358" t="n"/>
      <c r="J91" s="358" t="n"/>
      <c r="K91" s="358" t="n"/>
      <c r="L91" s="358" t="n"/>
      <c r="M91" s="358" t="n"/>
      <c r="N91" s="358" t="n"/>
      <c r="O91" s="358" t="n"/>
      <c r="P91" s="358" t="n"/>
      <c r="Q91" s="358" t="n"/>
      <c r="R91" s="358" t="n"/>
      <c r="S91" s="358" t="n"/>
      <c r="T91" s="358" t="n"/>
      <c r="U91" s="358" t="n"/>
      <c r="V91" s="358" t="n"/>
      <c r="W91" s="358" t="n"/>
      <c r="X91" s="358" t="n"/>
      <c r="Y91" s="358" t="n"/>
      <c r="Z91" s="358" t="n"/>
      <c r="AA91" s="358" t="n"/>
      <c r="AB91" s="358" t="n"/>
      <c r="AC91" s="358" t="n"/>
      <c r="AD91" s="358" t="n"/>
      <c r="AE91" s="358" t="n"/>
      <c r="AF91" s="358" t="n"/>
      <c r="AG91" s="358" t="n"/>
      <c r="AH91" s="358" t="n"/>
      <c r="AI91" s="358" t="n"/>
      <c r="AJ91" s="358" t="n"/>
      <c r="AK91" s="358" t="n"/>
      <c r="AL91" s="358" t="n"/>
      <c r="AM91" s="358" t="n"/>
      <c r="AN91" s="358" t="n"/>
      <c r="AO91" s="358" t="n"/>
      <c r="AP91" s="358" t="n"/>
      <c r="AQ91" s="358" t="n"/>
      <c r="AR91" s="358" t="n"/>
      <c r="AS91" s="358" t="n"/>
      <c r="AT91" s="358" t="n"/>
      <c r="AU91" s="358" t="n"/>
      <c r="AV91" s="358" t="n"/>
      <c r="AW91" s="358" t="n"/>
      <c r="AX91" s="358" t="n"/>
      <c r="AY91" s="358" t="n"/>
      <c r="AZ91" s="358" t="n"/>
      <c r="BA91" s="358" t="n"/>
      <c r="BB91" s="358" t="n"/>
      <c r="BC91" s="358" t="n"/>
      <c r="BD91" s="358" t="n"/>
      <c r="BE91" s="358" t="n"/>
      <c r="BF91" s="358" t="n"/>
      <c r="BG91" s="358" t="n"/>
      <c r="BH91" s="358" t="n"/>
      <c r="BI91" s="358" t="n"/>
      <c r="BJ91" s="358" t="n"/>
      <c r="BK91" s="358" t="n"/>
      <c r="BL91" s="358" t="n"/>
      <c r="BM91" s="358" t="n"/>
      <c r="BN91" s="358" t="n"/>
      <c r="BO91" s="358" t="n"/>
      <c r="BP91" s="358" t="n"/>
      <c r="BQ91" s="358" t="n"/>
      <c r="BR91" s="358" t="n"/>
      <c r="BS91" s="358" t="n"/>
      <c r="BT91" s="358" t="n"/>
      <c r="BU91" s="358" t="n"/>
      <c r="BV91" s="358" t="n"/>
      <c r="BW91" s="358" t="n"/>
      <c r="BX91" s="358" t="n"/>
      <c r="BY91" s="358" t="n"/>
      <c r="BZ91" s="358" t="n"/>
      <c r="CA91" s="358" t="n"/>
      <c r="CB91" s="358" t="n"/>
      <c r="CC91" s="358" t="n"/>
      <c r="CD91" s="358" t="n"/>
      <c r="CE91" s="358" t="n"/>
      <c r="CF91" s="358" t="n"/>
      <c r="CG91" s="358" t="n"/>
      <c r="CH91" s="358" t="n"/>
      <c r="CI91" s="358" t="n"/>
      <c r="CJ91" s="358" t="n"/>
      <c r="CK91" s="358" t="n"/>
      <c r="CL91" s="358" t="n"/>
      <c r="CM91" s="358" t="n"/>
      <c r="CN91" s="358" t="n"/>
      <c r="CO91" s="358" t="n"/>
      <c r="CP91" s="358" t="n"/>
      <c r="CQ91" s="358" t="n"/>
      <c r="CR91" s="358" t="n"/>
      <c r="CS91" s="358" t="n"/>
      <c r="CT91" s="358" t="n"/>
      <c r="CU91" s="358" t="n"/>
      <c r="CV91" s="358" t="n"/>
      <c r="CW91" s="358" t="n"/>
      <c r="CX91" s="358" t="n"/>
      <c r="CY91" s="358" t="n"/>
      <c r="CZ91" s="358" t="n"/>
      <c r="DA91" s="358" t="n"/>
      <c r="DB91" s="358" t="n"/>
      <c r="DC91" s="358" t="n"/>
      <c r="DD91" s="358" t="n"/>
      <c r="DE91" s="358" t="n"/>
      <c r="DF91" s="358" t="n"/>
      <c r="DG91" s="358" t="n"/>
      <c r="DH91" s="358" t="n"/>
      <c r="DI91" s="358" t="n"/>
      <c r="DJ91" s="358" t="n"/>
      <c r="DK91" s="358" t="n"/>
      <c r="DL91" s="358" t="n"/>
      <c r="DM91" s="358" t="n"/>
      <c r="DN91" s="358" t="n"/>
      <c r="DO91" s="358" t="n"/>
      <c r="DP91" s="358" t="n"/>
      <c r="DQ91" s="358" t="n"/>
      <c r="DR91" s="358" t="n"/>
      <c r="DS91" s="358" t="n"/>
      <c r="DT91" s="358" t="n"/>
      <c r="DU91" s="358" t="n"/>
      <c r="DV91" s="358" t="n"/>
      <c r="DW91" s="358" t="n"/>
      <c r="DX91" s="358" t="n"/>
      <c r="DY91" s="358" t="n"/>
      <c r="DZ91" s="358" t="n"/>
      <c r="EA91" s="358" t="n"/>
      <c r="EB91" s="358" t="n"/>
      <c r="EC91" s="358" t="n"/>
      <c r="ED91" s="358" t="n"/>
      <c r="EE91" s="358" t="n"/>
      <c r="EF91" s="358" t="n"/>
      <c r="EG91" s="358" t="n"/>
      <c r="EH91" s="358" t="n"/>
      <c r="EI91" s="358" t="n"/>
      <c r="EJ91" s="358" t="n"/>
      <c r="EK91" s="358" t="n"/>
      <c r="EL91" s="358" t="n"/>
      <c r="EM91" s="358" t="n"/>
      <c r="EN91" s="358" t="n"/>
      <c r="EO91" s="358" t="n"/>
      <c r="EP91" s="358" t="n"/>
      <c r="EQ91" s="358" t="n"/>
      <c r="ER91" s="358" t="n"/>
      <c r="ES91" s="358" t="n"/>
      <c r="ET91" s="358" t="n"/>
      <c r="EU91" s="358" t="n"/>
      <c r="EV91" s="358" t="n"/>
      <c r="EW91" s="358" t="n"/>
      <c r="EX91" s="358" t="n"/>
      <c r="EY91" s="358" t="n"/>
      <c r="EZ91" s="358" t="n"/>
      <c r="FA91" s="358" t="n"/>
      <c r="FB91" s="359" t="n"/>
    </row>
    <row r="92" ht="13.35" customHeight="1" s="276">
      <c r="A92" s="61" t="inlineStr">
        <is>
          <t>N˚</t>
        </is>
      </c>
      <c r="B92" s="62" t="inlineStr">
        <is>
          <t>Rubricas</t>
        </is>
      </c>
      <c r="C92" s="61" t="inlineStr">
        <is>
          <t>Perc.</t>
        </is>
      </c>
      <c r="D92" s="61" t="inlineStr">
        <is>
          <t>Previsto</t>
        </is>
      </c>
      <c r="E92" s="61" t="inlineStr">
        <is>
          <t>Recebido</t>
        </is>
      </c>
      <c r="F92" s="61" t="inlineStr">
        <is>
          <t>A Receber</t>
        </is>
      </c>
      <c r="G92" s="61" t="inlineStr">
        <is>
          <t>Gasto</t>
        </is>
      </c>
      <c r="H92" s="61" t="inlineStr">
        <is>
          <t>Saldo</t>
        </is>
      </c>
      <c r="I92" s="360" t="inlineStr">
        <is>
          <t>A gastar</t>
        </is>
      </c>
      <c r="J92" s="361" t="inlineStr">
        <is>
          <t>Result.</t>
        </is>
      </c>
      <c r="K92" s="362" t="n"/>
      <c r="L92" s="362" t="n"/>
      <c r="M92" s="362" t="n"/>
      <c r="N92" s="362" t="n"/>
      <c r="O92" s="362" t="n"/>
      <c r="P92" s="362" t="n"/>
      <c r="Q92" s="362" t="n"/>
      <c r="R92" s="362" t="n"/>
      <c r="S92" s="362" t="n"/>
      <c r="T92" s="362" t="n"/>
      <c r="U92" s="362" t="n"/>
      <c r="V92" s="362" t="n"/>
      <c r="W92" s="362" t="n"/>
      <c r="X92" s="362" t="n"/>
      <c r="Y92" s="362" t="n"/>
      <c r="Z92" s="362" t="n"/>
      <c r="AA92" s="362" t="n"/>
      <c r="AB92" s="362" t="n"/>
      <c r="AC92" s="362" t="n"/>
      <c r="AD92" s="362" t="n"/>
      <c r="AE92" s="362" t="n"/>
      <c r="AF92" s="362" t="n"/>
      <c r="AG92" s="362" t="n"/>
      <c r="AH92" s="362" t="n"/>
      <c r="AI92" s="362" t="n"/>
      <c r="AJ92" s="362" t="n"/>
      <c r="AK92" s="362" t="n"/>
      <c r="AL92" s="362" t="n"/>
      <c r="AM92" s="362" t="n"/>
      <c r="AN92" s="362" t="n"/>
      <c r="AO92" s="362" t="n"/>
      <c r="AP92" s="362" t="n"/>
      <c r="AQ92" s="362" t="n"/>
      <c r="AR92" s="362" t="n"/>
      <c r="AS92" s="362" t="n"/>
      <c r="AT92" s="362" t="n"/>
      <c r="AU92" s="362" t="n"/>
      <c r="AV92" s="362" t="n"/>
      <c r="AW92" s="362" t="n"/>
      <c r="AX92" s="362" t="n"/>
      <c r="AY92" s="362" t="n"/>
      <c r="AZ92" s="362" t="n"/>
      <c r="BA92" s="362" t="n"/>
      <c r="BB92" s="362" t="n"/>
      <c r="BC92" s="362" t="n"/>
      <c r="BD92" s="362" t="n"/>
      <c r="BE92" s="362" t="n"/>
      <c r="BF92" s="362" t="n"/>
      <c r="BG92" s="362" t="n"/>
      <c r="BH92" s="362" t="n"/>
      <c r="BI92" s="362" t="n"/>
      <c r="BJ92" s="362" t="n"/>
      <c r="BK92" s="362" t="n"/>
      <c r="BL92" s="362" t="n"/>
      <c r="BM92" s="362" t="n"/>
      <c r="BN92" s="362" t="n"/>
      <c r="BO92" s="362" t="n"/>
      <c r="BP92" s="362" t="n"/>
      <c r="BQ92" s="362" t="n"/>
      <c r="BR92" s="362" t="n"/>
      <c r="BS92" s="362" t="n"/>
      <c r="BT92" s="362" t="n"/>
      <c r="BU92" s="362" t="n"/>
      <c r="BV92" s="362" t="n"/>
      <c r="BW92" s="362" t="n"/>
      <c r="BX92" s="362" t="n"/>
      <c r="BY92" s="362" t="n"/>
      <c r="BZ92" s="362" t="n"/>
      <c r="CA92" s="362" t="n"/>
      <c r="CB92" s="362" t="n"/>
      <c r="CC92" s="362" t="n"/>
      <c r="CD92" s="362" t="n"/>
      <c r="CE92" s="362" t="n"/>
      <c r="CF92" s="362" t="n"/>
      <c r="CG92" s="362" t="n"/>
      <c r="CH92" s="362" t="n"/>
      <c r="CI92" s="362" t="n"/>
      <c r="CJ92" s="362" t="n"/>
      <c r="CK92" s="362" t="n"/>
      <c r="CL92" s="362" t="n"/>
      <c r="CM92" s="362" t="n"/>
      <c r="CN92" s="362" t="n"/>
      <c r="CO92" s="362" t="n"/>
      <c r="CP92" s="362" t="n"/>
      <c r="CQ92" s="362" t="n"/>
      <c r="CR92" s="362" t="n"/>
      <c r="CS92" s="362" t="n"/>
      <c r="CT92" s="362" t="n"/>
      <c r="CU92" s="362" t="n"/>
      <c r="CV92" s="362" t="n"/>
      <c r="CW92" s="362" t="n"/>
      <c r="CX92" s="362" t="n"/>
      <c r="CY92" s="362" t="n"/>
      <c r="CZ92" s="362" t="n"/>
      <c r="DA92" s="362" t="n"/>
      <c r="DB92" s="362" t="n"/>
      <c r="DC92" s="362" t="n"/>
      <c r="DD92" s="362" t="n"/>
      <c r="DE92" s="362" t="n"/>
      <c r="DF92" s="362" t="n"/>
      <c r="DG92" s="362" t="n"/>
      <c r="DH92" s="362" t="n"/>
      <c r="DI92" s="362" t="n"/>
      <c r="DJ92" s="362" t="n"/>
      <c r="DK92" s="362" t="n"/>
      <c r="DL92" s="362" t="n"/>
      <c r="DM92" s="362" t="n"/>
      <c r="DN92" s="362" t="n"/>
      <c r="DO92" s="362" t="n"/>
      <c r="DP92" s="362" t="n"/>
      <c r="DQ92" s="362" t="n"/>
      <c r="DR92" s="362" t="n"/>
      <c r="DS92" s="362" t="n"/>
      <c r="DT92" s="362" t="n"/>
      <c r="DU92" s="362" t="n"/>
      <c r="DV92" s="362" t="n"/>
      <c r="DW92" s="362" t="n"/>
      <c r="DX92" s="362" t="n"/>
      <c r="DY92" s="362" t="n"/>
      <c r="DZ92" s="362" t="n"/>
      <c r="EA92" s="362" t="n"/>
      <c r="EB92" s="362" t="n"/>
      <c r="EC92" s="362" t="n"/>
      <c r="ED92" s="362" t="n"/>
      <c r="EE92" s="362" t="n"/>
      <c r="EF92" s="362" t="n"/>
      <c r="EG92" s="362" t="n"/>
      <c r="EH92" s="362" t="n"/>
      <c r="EI92" s="362" t="n"/>
      <c r="EJ92" s="362" t="n"/>
      <c r="EK92" s="362" t="n"/>
      <c r="EL92" s="362" t="n"/>
      <c r="EM92" s="362" t="n"/>
      <c r="EN92" s="362" t="n"/>
      <c r="EO92" s="362" t="n"/>
      <c r="EP92" s="362" t="n"/>
      <c r="EQ92" s="362" t="n"/>
      <c r="ER92" s="362" t="n"/>
      <c r="ES92" s="362" t="n"/>
      <c r="ET92" s="362" t="n"/>
      <c r="EU92" s="362" t="n"/>
      <c r="EV92" s="362" t="n"/>
      <c r="EW92" s="362" t="n"/>
      <c r="EX92" s="362" t="n"/>
      <c r="EY92" s="362" t="n"/>
      <c r="EZ92" s="362" t="n"/>
      <c r="FA92" s="362" t="n"/>
      <c r="FB92" s="362" t="n"/>
      <c r="FC92" s="362" t="n"/>
      <c r="FD92" s="362" t="n"/>
      <c r="FE92" s="362" t="n"/>
      <c r="FF92" s="362" t="n"/>
      <c r="FG92" s="362" t="n"/>
      <c r="FH92" s="362" t="n"/>
      <c r="FI92" s="362" t="n"/>
      <c r="FJ92" s="362" t="n"/>
      <c r="FK92" s="362" t="n"/>
      <c r="FL92" s="362" t="n"/>
      <c r="FM92" s="362" t="n"/>
      <c r="FN92" s="362" t="n"/>
      <c r="FO92" s="362" t="n"/>
      <c r="FP92" s="362" t="n"/>
      <c r="FQ92" s="362" t="n"/>
      <c r="FR92" s="362" t="n"/>
      <c r="FS92" s="362" t="n"/>
      <c r="FT92" s="362" t="n"/>
      <c r="FU92" s="362" t="n"/>
      <c r="FV92" s="362" t="n"/>
      <c r="FW92" s="362" t="n"/>
      <c r="FX92" s="363" t="n"/>
      <c r="FY92" s="363" t="n"/>
      <c r="FZ92" s="363" t="n"/>
    </row>
    <row r="93" ht="13.35" customHeight="1" s="276">
      <c r="A93" s="55" t="n">
        <v>1</v>
      </c>
      <c r="B93" s="254" t="inlineStr">
        <is>
          <t>Aplicação em Fundos</t>
        </is>
      </c>
      <c r="C93" s="63" t="n">
        <v>0</v>
      </c>
      <c r="D93" s="64" t="n">
        <v>0</v>
      </c>
      <c r="E93" s="65" t="n">
        <v>0</v>
      </c>
      <c r="F93" s="66" t="n">
        <v>0</v>
      </c>
      <c r="G93" s="64" t="n">
        <v>0</v>
      </c>
      <c r="H93" s="67" t="n">
        <v>0</v>
      </c>
      <c r="I93" s="68" t="n">
        <v>0</v>
      </c>
      <c r="J93" s="69">
        <f>H93-I93</f>
        <v/>
      </c>
      <c r="K93" s="70" t="n"/>
      <c r="L93" s="70" t="n"/>
      <c r="M93" s="70" t="n"/>
      <c r="N93" s="70" t="n"/>
      <c r="O93" s="70" t="n"/>
      <c r="P93" s="70" t="n"/>
      <c r="Q93" s="70" t="n"/>
      <c r="R93" s="70" t="n"/>
      <c r="S93" s="70" t="n"/>
      <c r="T93" s="70" t="n"/>
      <c r="U93" s="70" t="n"/>
      <c r="V93" s="70" t="n"/>
      <c r="W93" s="70" t="n"/>
      <c r="X93" s="70" t="n"/>
      <c r="Y93" s="70" t="n"/>
      <c r="Z93" s="70" t="n"/>
      <c r="AA93" s="70" t="n"/>
      <c r="AB93" s="70" t="n"/>
      <c r="AC93" s="70" t="n"/>
      <c r="AD93" s="70" t="n"/>
      <c r="AE93" s="70" t="n"/>
      <c r="AF93" s="70" t="n"/>
      <c r="AG93" s="70" t="n"/>
      <c r="AH93" s="70" t="n"/>
      <c r="AI93" s="70" t="n"/>
      <c r="AJ93" s="70" t="n"/>
      <c r="AK93" s="70" t="n"/>
      <c r="AL93" s="70" t="n"/>
      <c r="AM93" s="70" t="n"/>
      <c r="AN93" s="70" t="n"/>
      <c r="AO93" s="70" t="n"/>
      <c r="AP93" s="70" t="n"/>
      <c r="AQ93" s="70" t="n"/>
      <c r="AR93" s="70" t="n"/>
      <c r="AS93" s="70" t="n"/>
      <c r="AT93" s="70" t="n"/>
      <c r="AU93" s="70" t="n"/>
      <c r="AV93" s="70" t="n"/>
      <c r="AW93" s="70" t="n"/>
      <c r="AX93" s="70" t="n"/>
      <c r="AY93" s="70" t="n"/>
      <c r="AZ93" s="70" t="n"/>
      <c r="BA93" s="70" t="n"/>
      <c r="BB93" s="70" t="n"/>
      <c r="BC93" s="70" t="n"/>
      <c r="BD93" s="70" t="n"/>
      <c r="BE93" s="70" t="n"/>
      <c r="BF93" s="70" t="n"/>
      <c r="BG93" s="70" t="n"/>
      <c r="BH93" s="70" t="n"/>
      <c r="BI93" s="70" t="n"/>
      <c r="BJ93" s="70" t="n"/>
      <c r="BK93" s="70" t="n"/>
      <c r="BL93" s="70" t="n"/>
      <c r="BM93" s="70" t="n"/>
      <c r="BN93" s="70" t="n"/>
      <c r="BO93" s="70" t="n"/>
      <c r="BP93" s="70" t="n"/>
      <c r="BQ93" s="70" t="n"/>
      <c r="BR93" s="70" t="n"/>
      <c r="BS93" s="70" t="n"/>
      <c r="BT93" s="70" t="n"/>
      <c r="BU93" s="70" t="n"/>
      <c r="BV93" s="70" t="n"/>
      <c r="BW93" s="70" t="n"/>
      <c r="BX93" s="70" t="n"/>
      <c r="BY93" s="70" t="n"/>
      <c r="BZ93" s="70" t="n"/>
      <c r="CA93" s="70" t="n"/>
      <c r="CB93" s="70" t="n"/>
      <c r="CC93" s="70" t="n"/>
      <c r="CD93" s="70" t="n"/>
      <c r="CE93" s="70" t="n"/>
      <c r="CF93" s="70" t="n"/>
      <c r="CG93" s="70" t="n"/>
      <c r="CH93" s="70" t="n"/>
      <c r="CI93" s="70" t="n"/>
      <c r="CJ93" s="70" t="n"/>
      <c r="CK93" s="70" t="n"/>
      <c r="CL93" s="70" t="n"/>
      <c r="CM93" s="70" t="n"/>
      <c r="CN93" s="70" t="n"/>
      <c r="CO93" s="70" t="n"/>
      <c r="CP93" s="70" t="n"/>
      <c r="CQ93" s="70" t="n"/>
      <c r="CR93" s="70" t="n"/>
      <c r="CS93" s="70" t="n"/>
      <c r="CT93" s="70" t="n"/>
      <c r="CU93" s="70" t="n"/>
      <c r="CV93" s="70" t="n"/>
      <c r="CW93" s="70" t="n"/>
      <c r="CX93" s="70" t="n"/>
      <c r="CY93" s="70" t="n"/>
      <c r="CZ93" s="70" t="n"/>
      <c r="DA93" s="70" t="n"/>
      <c r="DB93" s="70" t="n"/>
      <c r="DC93" s="70" t="n"/>
      <c r="DD93" s="70" t="n"/>
      <c r="DE93" s="70" t="n"/>
      <c r="DF93" s="70" t="n"/>
      <c r="DG93" s="70" t="n"/>
      <c r="DH93" s="70" t="n"/>
      <c r="DI93" s="70" t="n"/>
      <c r="DJ93" s="70" t="n"/>
      <c r="DK93" s="70" t="n"/>
      <c r="DL93" s="70" t="n"/>
      <c r="DM93" s="70" t="n"/>
      <c r="DN93" s="70" t="n"/>
      <c r="DO93" s="70" t="n"/>
      <c r="DP93" s="70" t="n"/>
      <c r="DQ93" s="70" t="n"/>
      <c r="DR93" s="70" t="n"/>
      <c r="DS93" s="70" t="n"/>
      <c r="DT93" s="70" t="n"/>
      <c r="DU93" s="70" t="n"/>
      <c r="DV93" s="70" t="n"/>
      <c r="DW93" s="70" t="n"/>
      <c r="DX93" s="70" t="n"/>
      <c r="DY93" s="70" t="n"/>
      <c r="DZ93" s="70" t="n"/>
      <c r="EA93" s="70" t="n"/>
      <c r="EB93" s="70" t="n"/>
      <c r="EC93" s="70" t="n"/>
      <c r="ED93" s="70" t="n"/>
      <c r="EE93" s="70" t="n"/>
      <c r="EF93" s="70" t="n"/>
      <c r="EG93" s="70" t="n"/>
      <c r="EH93" s="70" t="n"/>
      <c r="EI93" s="70" t="n"/>
      <c r="EJ93" s="70" t="n"/>
      <c r="EK93" s="70" t="n"/>
      <c r="EL93" s="70" t="n"/>
      <c r="EM93" s="70" t="n"/>
      <c r="EN93" s="70" t="n"/>
      <c r="EO93" s="70" t="n"/>
      <c r="EP93" s="70" t="n"/>
      <c r="EQ93" s="70" t="n"/>
      <c r="ER93" s="70" t="n"/>
      <c r="ES93" s="70" t="n"/>
      <c r="ET93" s="70" t="n"/>
      <c r="EU93" s="70" t="n"/>
      <c r="EV93" s="70" t="n"/>
      <c r="EW93" s="70" t="n"/>
      <c r="EX93" s="70" t="n"/>
      <c r="EY93" s="70" t="n"/>
      <c r="EZ93" s="70" t="n"/>
      <c r="FA93" s="70" t="n"/>
      <c r="FB93" s="70" t="n"/>
      <c r="FC93" s="70" t="n"/>
      <c r="FD93" s="70" t="n"/>
      <c r="FE93" s="70" t="n"/>
      <c r="FF93" s="70" t="n"/>
      <c r="FG93" s="70" t="n"/>
      <c r="FH93" s="70" t="n"/>
      <c r="FI93" s="70" t="n"/>
      <c r="FJ93" s="70" t="n"/>
      <c r="FK93" s="70" t="n"/>
      <c r="FL93" s="70" t="n"/>
      <c r="FM93" s="70" t="n"/>
      <c r="FN93" s="70" t="n"/>
      <c r="FO93" s="70" t="n"/>
      <c r="FP93" s="70" t="n"/>
      <c r="FQ93" s="70" t="n"/>
      <c r="FR93" s="70" t="n"/>
      <c r="FS93" s="70" t="n"/>
      <c r="FT93" s="70" t="n"/>
      <c r="FU93" s="70" t="n"/>
      <c r="FV93" s="70" t="n"/>
      <c r="FW93" s="70" t="n"/>
      <c r="FX93" s="71" t="n"/>
      <c r="FY93" s="71" t="n"/>
      <c r="FZ93" s="71" t="n"/>
    </row>
    <row r="94" ht="13.35" customHeight="1" s="276">
      <c r="A94" s="55">
        <f>A93+1</f>
        <v/>
      </c>
      <c r="B94" s="72" t="inlineStr">
        <is>
          <t>Passagens</t>
        </is>
      </c>
      <c r="C94" s="63">
        <f>D94/94544605</f>
        <v/>
      </c>
      <c r="D94" s="64" t="n">
        <v>3570000</v>
      </c>
      <c r="E94" s="65" t="n">
        <v>0</v>
      </c>
      <c r="F94" s="66">
        <f>D94-E94</f>
        <v/>
      </c>
      <c r="G94" s="64" t="n">
        <v>0</v>
      </c>
      <c r="H94" s="67">
        <f>E94+G94</f>
        <v/>
      </c>
      <c r="I94" s="68">
        <f>-BM80</f>
        <v/>
      </c>
      <c r="J94" s="69">
        <f>E94+F94+G94+I94</f>
        <v/>
      </c>
      <c r="K94" s="70" t="n"/>
      <c r="L94" s="70" t="n"/>
      <c r="M94" s="70" t="n"/>
      <c r="N94" s="70" t="n"/>
      <c r="O94" s="70" t="n"/>
      <c r="P94" s="70" t="n"/>
      <c r="Q94" s="70" t="n"/>
      <c r="R94" s="70" t="n"/>
      <c r="S94" s="70" t="n"/>
      <c r="T94" s="70" t="n"/>
      <c r="U94" s="70" t="n"/>
      <c r="V94" s="70" t="n"/>
      <c r="W94" s="70" t="n"/>
      <c r="X94" s="70" t="n"/>
      <c r="Y94" s="70" t="n"/>
      <c r="Z94" s="70" t="n"/>
      <c r="AA94" s="70" t="n"/>
      <c r="AB94" s="70" t="n"/>
      <c r="AC94" s="70" t="n"/>
      <c r="AD94" s="70" t="n"/>
      <c r="AE94" s="70" t="n"/>
      <c r="AF94" s="70" t="n"/>
      <c r="AG94" s="70" t="n"/>
      <c r="AH94" s="70" t="n"/>
      <c r="AI94" s="70" t="n"/>
      <c r="AJ94" s="70" t="n"/>
      <c r="AK94" s="70" t="n"/>
      <c r="AL94" s="70" t="n"/>
      <c r="AM94" s="70" t="n"/>
      <c r="AN94" s="70" t="n"/>
      <c r="AO94" s="70" t="n"/>
      <c r="AP94" s="70" t="n"/>
      <c r="AQ94" s="70" t="n"/>
      <c r="AR94" s="70" t="n"/>
      <c r="AS94" s="70" t="n"/>
      <c r="AT94" s="70" t="n"/>
      <c r="AU94" s="70" t="n"/>
      <c r="AV94" s="70" t="n"/>
      <c r="AW94" s="70" t="n"/>
      <c r="AX94" s="70" t="n"/>
      <c r="AY94" s="70" t="n"/>
      <c r="AZ94" s="70" t="n"/>
      <c r="BA94" s="70" t="n"/>
      <c r="BB94" s="70" t="n"/>
      <c r="BC94" s="70" t="n"/>
      <c r="BD94" s="70" t="n"/>
      <c r="BE94" s="70" t="n"/>
      <c r="BF94" s="70" t="n"/>
      <c r="BG94" s="70" t="n"/>
      <c r="BH94" s="70" t="n"/>
      <c r="BI94" s="70" t="n"/>
      <c r="BJ94" s="70" t="n"/>
      <c r="BK94" s="70" t="n"/>
      <c r="BL94" s="70" t="n"/>
      <c r="BM94" s="70" t="n"/>
      <c r="BN94" s="70" t="n"/>
      <c r="BO94" s="70" t="n"/>
      <c r="BP94" s="70" t="n"/>
      <c r="BQ94" s="70" t="n"/>
      <c r="BR94" s="70" t="n"/>
      <c r="BS94" s="70" t="n"/>
      <c r="BT94" s="70" t="n"/>
      <c r="BU94" s="70" t="n"/>
      <c r="BV94" s="70" t="n"/>
      <c r="BW94" s="70" t="n"/>
      <c r="BX94" s="70" t="n"/>
      <c r="BY94" s="70" t="n"/>
      <c r="BZ94" s="70" t="n"/>
      <c r="CA94" s="70" t="n"/>
      <c r="CB94" s="70" t="n"/>
      <c r="CC94" s="70" t="n"/>
      <c r="CD94" s="70" t="n"/>
      <c r="CE94" s="70" t="n"/>
      <c r="CF94" s="70" t="n"/>
      <c r="CG94" s="70" t="n"/>
      <c r="CH94" s="70" t="n"/>
      <c r="CI94" s="70" t="n"/>
      <c r="CJ94" s="70" t="n"/>
      <c r="CK94" s="70" t="n"/>
      <c r="CL94" s="70" t="n"/>
      <c r="CM94" s="70" t="n"/>
      <c r="CN94" s="70" t="n"/>
      <c r="CO94" s="70" t="n"/>
      <c r="CP94" s="70" t="n"/>
      <c r="CQ94" s="70" t="n"/>
      <c r="CR94" s="70" t="n"/>
      <c r="CS94" s="70" t="n"/>
      <c r="CT94" s="70" t="n"/>
      <c r="CU94" s="70" t="n"/>
      <c r="CV94" s="70" t="n"/>
      <c r="CW94" s="70" t="n"/>
      <c r="CX94" s="70" t="n"/>
      <c r="CY94" s="70" t="n"/>
      <c r="CZ94" s="70" t="n"/>
      <c r="DA94" s="70" t="n"/>
      <c r="DB94" s="70" t="n"/>
      <c r="DC94" s="70" t="n"/>
      <c r="DD94" s="70" t="n"/>
      <c r="DE94" s="70" t="n"/>
      <c r="DF94" s="70" t="n"/>
      <c r="DG94" s="70" t="n"/>
      <c r="DH94" s="70" t="n"/>
      <c r="DI94" s="70" t="n"/>
      <c r="DJ94" s="70" t="n"/>
      <c r="DK94" s="70" t="n"/>
      <c r="DL94" s="70" t="n"/>
      <c r="DM94" s="70" t="n"/>
      <c r="DN94" s="70" t="n"/>
      <c r="DO94" s="70" t="n"/>
      <c r="DP94" s="70" t="n"/>
      <c r="DQ94" s="70" t="n"/>
      <c r="DR94" s="70" t="n"/>
      <c r="DS94" s="70" t="n"/>
      <c r="DT94" s="70" t="n"/>
      <c r="DU94" s="70" t="n"/>
      <c r="DV94" s="70" t="n"/>
      <c r="DW94" s="70" t="n"/>
      <c r="DX94" s="70" t="n"/>
      <c r="DY94" s="70" t="n"/>
      <c r="DZ94" s="70" t="n"/>
      <c r="EA94" s="70" t="n"/>
      <c r="EB94" s="70" t="n"/>
      <c r="EC94" s="70" t="n"/>
      <c r="ED94" s="70" t="n"/>
      <c r="EE94" s="70" t="n"/>
      <c r="EF94" s="70" t="n"/>
      <c r="EG94" s="70" t="n"/>
      <c r="EH94" s="70" t="n"/>
      <c r="EI94" s="70" t="n"/>
      <c r="EJ94" s="70" t="n"/>
      <c r="EK94" s="70" t="n"/>
      <c r="EL94" s="70" t="n"/>
      <c r="EM94" s="70" t="n"/>
      <c r="EN94" s="70" t="n"/>
      <c r="EO94" s="70" t="n"/>
      <c r="EP94" s="70" t="n"/>
      <c r="EQ94" s="70" t="n"/>
      <c r="ER94" s="70" t="n"/>
      <c r="ES94" s="70" t="n"/>
      <c r="ET94" s="70" t="n"/>
      <c r="EU94" s="70" t="n"/>
      <c r="EV94" s="70" t="n"/>
      <c r="EW94" s="70" t="n"/>
      <c r="EX94" s="70" t="n"/>
      <c r="EY94" s="70" t="n"/>
      <c r="EZ94" s="70" t="n"/>
      <c r="FA94" s="70" t="n"/>
      <c r="FB94" s="70" t="n"/>
      <c r="FC94" s="70" t="n"/>
      <c r="FD94" s="70" t="n"/>
      <c r="FE94" s="70" t="n"/>
      <c r="FF94" s="70" t="n"/>
      <c r="FG94" s="70" t="n"/>
      <c r="FH94" s="70" t="n"/>
      <c r="FI94" s="70" t="n"/>
      <c r="FJ94" s="70" t="n"/>
      <c r="FK94" s="70" t="n"/>
      <c r="FL94" s="70" t="n"/>
      <c r="FM94" s="70" t="n"/>
      <c r="FN94" s="70" t="n"/>
      <c r="FO94" s="70" t="n"/>
      <c r="FP94" s="70" t="n"/>
      <c r="FQ94" s="70" t="n"/>
      <c r="FR94" s="70" t="n"/>
      <c r="FS94" s="70" t="n"/>
      <c r="FT94" s="70" t="n"/>
      <c r="FU94" s="70" t="n"/>
      <c r="FV94" s="70" t="n"/>
      <c r="FW94" s="70" t="n"/>
      <c r="FX94" s="71" t="n"/>
      <c r="FY94" s="71" t="n"/>
      <c r="FZ94" s="71" t="n"/>
    </row>
    <row r="95" ht="13.35" customHeight="1" s="276">
      <c r="A95" s="55">
        <f>A94+1</f>
        <v/>
      </c>
      <c r="B95" s="72" t="inlineStr">
        <is>
          <t>Diárias</t>
        </is>
      </c>
      <c r="C95" s="63">
        <f>D95/94544605</f>
        <v/>
      </c>
      <c r="D95" s="64" t="n">
        <v>2183678.4</v>
      </c>
      <c r="E95" s="65" t="n">
        <v>0</v>
      </c>
      <c r="F95" s="66">
        <f>D95-E95</f>
        <v/>
      </c>
      <c r="G95" s="64" t="n">
        <v>0</v>
      </c>
      <c r="H95" s="67">
        <f>E95+G95</f>
        <v/>
      </c>
      <c r="I95" s="68">
        <f>-BM81</f>
        <v/>
      </c>
      <c r="J95" s="69">
        <f>E95+F95+G95+I95</f>
        <v/>
      </c>
      <c r="K95" s="70" t="n"/>
      <c r="L95" s="70" t="n"/>
      <c r="M95" s="70" t="n"/>
      <c r="N95" s="70" t="n"/>
      <c r="O95" s="70" t="n"/>
      <c r="P95" s="70" t="n"/>
      <c r="Q95" s="70" t="n"/>
      <c r="R95" s="70" t="n"/>
      <c r="S95" s="70" t="n"/>
      <c r="T95" s="70" t="n"/>
      <c r="U95" s="70" t="n"/>
      <c r="V95" s="70" t="n"/>
      <c r="W95" s="70" t="n"/>
      <c r="X95" s="70" t="n"/>
      <c r="Y95" s="70" t="n"/>
      <c r="Z95" s="70" t="n"/>
      <c r="AA95" s="70" t="n"/>
      <c r="AB95" s="70" t="n"/>
      <c r="AC95" s="70" t="n"/>
      <c r="AD95" s="70" t="n"/>
      <c r="AE95" s="70" t="n"/>
      <c r="AF95" s="70" t="n"/>
      <c r="AG95" s="70" t="n"/>
      <c r="AH95" s="70" t="n"/>
      <c r="AI95" s="70" t="n"/>
      <c r="AJ95" s="70" t="n"/>
      <c r="AK95" s="70" t="n"/>
      <c r="AL95" s="70" t="n"/>
      <c r="AM95" s="70" t="n"/>
      <c r="AN95" s="70" t="n"/>
      <c r="AO95" s="70" t="n"/>
      <c r="AP95" s="70" t="n"/>
      <c r="AQ95" s="70" t="n"/>
      <c r="AR95" s="70" t="n"/>
      <c r="AS95" s="70" t="n"/>
      <c r="AT95" s="70" t="n"/>
      <c r="AU95" s="70" t="n"/>
      <c r="AV95" s="70" t="n"/>
      <c r="AW95" s="70" t="n"/>
      <c r="AX95" s="70" t="n"/>
      <c r="AY95" s="70" t="n"/>
      <c r="AZ95" s="70" t="n"/>
      <c r="BA95" s="70" t="n"/>
      <c r="BB95" s="70" t="n"/>
      <c r="BC95" s="70" t="n"/>
      <c r="BD95" s="70" t="n"/>
      <c r="BE95" s="70" t="n"/>
      <c r="BF95" s="70" t="n"/>
      <c r="BG95" s="70" t="n"/>
      <c r="BH95" s="70" t="n"/>
      <c r="BI95" s="70" t="n"/>
      <c r="BJ95" s="70" t="n"/>
      <c r="BK95" s="70" t="n"/>
      <c r="BL95" s="70" t="n"/>
      <c r="BM95" s="70" t="n"/>
      <c r="BN95" s="70" t="n"/>
      <c r="BO95" s="70" t="n"/>
      <c r="BP95" s="70" t="n"/>
      <c r="BQ95" s="70" t="n"/>
      <c r="BR95" s="70" t="n"/>
      <c r="BS95" s="70" t="n"/>
      <c r="BT95" s="70" t="n"/>
      <c r="BU95" s="70" t="n"/>
      <c r="BV95" s="70" t="n"/>
      <c r="BW95" s="70" t="n"/>
      <c r="BX95" s="70" t="n"/>
      <c r="BY95" s="70" t="n"/>
      <c r="BZ95" s="70" t="n"/>
      <c r="CA95" s="70" t="n"/>
      <c r="CB95" s="70" t="n"/>
      <c r="CC95" s="70" t="n"/>
      <c r="CD95" s="70" t="n"/>
      <c r="CE95" s="70" t="n"/>
      <c r="CF95" s="70" t="n"/>
      <c r="CG95" s="70" t="n"/>
      <c r="CH95" s="70" t="n"/>
      <c r="CI95" s="70" t="n"/>
      <c r="CJ95" s="70" t="n"/>
      <c r="CK95" s="70" t="n"/>
      <c r="CL95" s="70" t="n"/>
      <c r="CM95" s="70" t="n"/>
      <c r="CN95" s="70" t="n"/>
      <c r="CO95" s="70" t="n"/>
      <c r="CP95" s="70" t="n"/>
      <c r="CQ95" s="70" t="n"/>
      <c r="CR95" s="70" t="n"/>
      <c r="CS95" s="70" t="n"/>
      <c r="CT95" s="70" t="n"/>
      <c r="CU95" s="70" t="n"/>
      <c r="CV95" s="70" t="n"/>
      <c r="CW95" s="70" t="n"/>
      <c r="CX95" s="70" t="n"/>
      <c r="CY95" s="70" t="n"/>
      <c r="CZ95" s="70" t="n"/>
      <c r="DA95" s="70" t="n"/>
      <c r="DB95" s="70" t="n"/>
      <c r="DC95" s="70" t="n"/>
      <c r="DD95" s="70" t="n"/>
      <c r="DE95" s="70" t="n"/>
      <c r="DF95" s="70" t="n"/>
      <c r="DG95" s="70" t="n"/>
      <c r="DH95" s="70" t="n"/>
      <c r="DI95" s="70" t="n"/>
      <c r="DJ95" s="70" t="n"/>
      <c r="DK95" s="70" t="n"/>
      <c r="DL95" s="70" t="n"/>
      <c r="DM95" s="70" t="n"/>
      <c r="DN95" s="70" t="n"/>
      <c r="DO95" s="70" t="n"/>
      <c r="DP95" s="70" t="n"/>
      <c r="DQ95" s="70" t="n"/>
      <c r="DR95" s="70" t="n"/>
      <c r="DS95" s="70" t="n"/>
      <c r="DT95" s="70" t="n"/>
      <c r="DU95" s="70" t="n"/>
      <c r="DV95" s="70" t="n"/>
      <c r="DW95" s="70" t="n"/>
      <c r="DX95" s="70" t="n"/>
      <c r="DY95" s="70" t="n"/>
      <c r="DZ95" s="70" t="n"/>
      <c r="EA95" s="70" t="n"/>
      <c r="EB95" s="70" t="n"/>
      <c r="EC95" s="70" t="n"/>
      <c r="ED95" s="70" t="n"/>
      <c r="EE95" s="70" t="n"/>
      <c r="EF95" s="70" t="n"/>
      <c r="EG95" s="70" t="n"/>
      <c r="EH95" s="70" t="n"/>
      <c r="EI95" s="70" t="n"/>
      <c r="EJ95" s="70" t="n"/>
      <c r="EK95" s="70" t="n"/>
      <c r="EL95" s="70" t="n"/>
      <c r="EM95" s="70" t="n"/>
      <c r="EN95" s="70" t="n"/>
      <c r="EO95" s="70" t="n"/>
      <c r="EP95" s="70" t="n"/>
      <c r="EQ95" s="70" t="n"/>
      <c r="ER95" s="70" t="n"/>
      <c r="ES95" s="70" t="n"/>
      <c r="ET95" s="70" t="n"/>
      <c r="EU95" s="70" t="n"/>
      <c r="EV95" s="70" t="n"/>
      <c r="EW95" s="70" t="n"/>
      <c r="EX95" s="70" t="n"/>
      <c r="EY95" s="70" t="n"/>
      <c r="EZ95" s="70" t="n"/>
      <c r="FA95" s="70" t="n"/>
      <c r="FB95" s="70" t="n"/>
      <c r="FC95" s="70" t="n"/>
      <c r="FD95" s="70" t="n"/>
      <c r="FE95" s="70" t="n"/>
      <c r="FF95" s="70" t="n"/>
      <c r="FG95" s="70" t="n"/>
      <c r="FH95" s="70" t="n"/>
      <c r="FI95" s="70" t="n"/>
      <c r="FJ95" s="70" t="n"/>
      <c r="FK95" s="70" t="n"/>
      <c r="FL95" s="70" t="n"/>
      <c r="FM95" s="70" t="n"/>
      <c r="FN95" s="70" t="n"/>
      <c r="FO95" s="70" t="n"/>
      <c r="FP95" s="70" t="n"/>
      <c r="FQ95" s="70" t="n"/>
      <c r="FR95" s="70" t="n"/>
      <c r="FS95" s="70" t="n"/>
      <c r="FT95" s="70" t="n"/>
      <c r="FU95" s="70" t="n"/>
      <c r="FV95" s="70" t="n"/>
      <c r="FW95" s="70" t="n"/>
      <c r="FX95" s="71" t="n"/>
      <c r="FY95" s="71" t="n"/>
      <c r="FZ95" s="71" t="n"/>
    </row>
    <row r="96" ht="13.35" customHeight="1" s="276">
      <c r="A96" s="55">
        <f>A95+1</f>
        <v/>
      </c>
      <c r="B96" s="72" t="inlineStr">
        <is>
          <t>Material de Consumo</t>
        </is>
      </c>
      <c r="C96" s="63">
        <f>D96/94544605</f>
        <v/>
      </c>
      <c r="D96" s="64" t="n">
        <v>305810.13</v>
      </c>
      <c r="E96" s="65" t="n">
        <v>0</v>
      </c>
      <c r="F96" s="66">
        <f>D96-E96</f>
        <v/>
      </c>
      <c r="G96" s="64" t="n">
        <v>0</v>
      </c>
      <c r="H96" s="67">
        <f>E96+G96</f>
        <v/>
      </c>
      <c r="I96" s="68">
        <f>-BM82</f>
        <v/>
      </c>
      <c r="J96" s="69">
        <f>E96+F96+G96+I96</f>
        <v/>
      </c>
      <c r="K96" s="70" t="n"/>
      <c r="L96" s="111" t="n"/>
      <c r="M96" s="111" t="n"/>
      <c r="N96" s="70" t="n"/>
      <c r="O96" s="70" t="n"/>
      <c r="P96" s="70" t="n"/>
      <c r="Q96" s="70" t="n"/>
      <c r="R96" s="70" t="n"/>
      <c r="S96" s="70" t="n"/>
      <c r="T96" s="70" t="n"/>
      <c r="U96" s="70" t="n"/>
      <c r="V96" s="70" t="n"/>
      <c r="W96" s="70" t="n"/>
      <c r="X96" s="70" t="n"/>
      <c r="Y96" s="70" t="n"/>
      <c r="Z96" s="70" t="n"/>
      <c r="AA96" s="70" t="n"/>
      <c r="AB96" s="70" t="n"/>
      <c r="AC96" s="70" t="n"/>
      <c r="AD96" s="70" t="n"/>
      <c r="AE96" s="70" t="n"/>
      <c r="AF96" s="70" t="n"/>
      <c r="AG96" s="70" t="n"/>
      <c r="AH96" s="70" t="n"/>
      <c r="AI96" s="70" t="n"/>
      <c r="AJ96" s="70" t="n"/>
      <c r="AK96" s="70" t="n"/>
      <c r="AL96" s="70" t="n"/>
      <c r="AM96" s="70" t="n"/>
      <c r="AN96" s="70" t="n"/>
      <c r="AO96" s="70" t="n"/>
      <c r="AP96" s="70" t="n"/>
      <c r="AQ96" s="70" t="n"/>
      <c r="AR96" s="70" t="n"/>
      <c r="AS96" s="70" t="n"/>
      <c r="AT96" s="70" t="n"/>
      <c r="AU96" s="70" t="n"/>
      <c r="AV96" s="70" t="n"/>
      <c r="AW96" s="70" t="n"/>
      <c r="AX96" s="70" t="n"/>
      <c r="AY96" s="70" t="n"/>
      <c r="AZ96" s="70" t="n"/>
      <c r="BA96" s="70" t="n"/>
      <c r="BB96" s="70" t="n"/>
      <c r="BC96" s="70" t="n"/>
      <c r="BD96" s="70" t="n"/>
      <c r="BE96" s="70" t="n"/>
      <c r="BF96" s="70" t="n"/>
      <c r="BG96" s="70" t="n"/>
      <c r="BH96" s="70" t="n"/>
      <c r="BI96" s="70" t="n"/>
      <c r="BJ96" s="70" t="n"/>
      <c r="BK96" s="70" t="n"/>
      <c r="BL96" s="70" t="n"/>
      <c r="BM96" s="70" t="n"/>
      <c r="BN96" s="70" t="n"/>
      <c r="BO96" s="70" t="n"/>
      <c r="BP96" s="70" t="n"/>
      <c r="BQ96" s="70" t="n"/>
      <c r="BR96" s="70" t="n"/>
      <c r="BS96" s="70" t="n"/>
      <c r="BT96" s="70" t="n"/>
      <c r="BU96" s="70" t="n"/>
      <c r="BV96" s="70" t="n"/>
      <c r="BW96" s="70" t="n"/>
      <c r="BX96" s="70" t="n"/>
      <c r="BY96" s="70" t="n"/>
      <c r="BZ96" s="70" t="n"/>
      <c r="CA96" s="70" t="n"/>
      <c r="CB96" s="70" t="n"/>
      <c r="CC96" s="70" t="n"/>
      <c r="CD96" s="70" t="n"/>
      <c r="CE96" s="70" t="n"/>
      <c r="CF96" s="70" t="n"/>
      <c r="CG96" s="70" t="n"/>
      <c r="CH96" s="70" t="n"/>
      <c r="CI96" s="70" t="n"/>
      <c r="CJ96" s="70" t="n"/>
      <c r="CK96" s="70" t="n"/>
      <c r="CL96" s="70" t="n"/>
      <c r="CM96" s="70" t="n"/>
      <c r="CN96" s="70" t="n"/>
      <c r="CO96" s="70" t="n"/>
      <c r="CP96" s="70" t="n"/>
      <c r="CQ96" s="70" t="n"/>
      <c r="CR96" s="70" t="n"/>
      <c r="CS96" s="70" t="n"/>
      <c r="CT96" s="70" t="n"/>
      <c r="CU96" s="70" t="n"/>
      <c r="CV96" s="70" t="n"/>
      <c r="CW96" s="70" t="n"/>
      <c r="CX96" s="70" t="n"/>
      <c r="CY96" s="70" t="n"/>
      <c r="CZ96" s="70" t="n"/>
      <c r="DA96" s="70" t="n"/>
      <c r="DB96" s="70" t="n"/>
      <c r="DC96" s="70" t="n"/>
      <c r="DD96" s="70" t="n"/>
      <c r="DE96" s="70" t="n"/>
      <c r="DF96" s="70" t="n"/>
      <c r="DG96" s="70" t="n"/>
      <c r="DH96" s="70" t="n"/>
      <c r="DI96" s="70" t="n"/>
      <c r="DJ96" s="70" t="n"/>
      <c r="DK96" s="70" t="n"/>
      <c r="DL96" s="70" t="n"/>
      <c r="DM96" s="70" t="n"/>
      <c r="DN96" s="70" t="n"/>
      <c r="DO96" s="70" t="n"/>
      <c r="DP96" s="70" t="n"/>
      <c r="DQ96" s="70" t="n"/>
      <c r="DR96" s="70" t="n"/>
      <c r="DS96" s="70" t="n"/>
      <c r="DT96" s="70" t="n"/>
      <c r="DU96" s="70" t="n"/>
      <c r="DV96" s="70" t="n"/>
      <c r="DW96" s="70" t="n"/>
      <c r="DX96" s="70" t="n"/>
      <c r="DY96" s="70" t="n"/>
      <c r="DZ96" s="70" t="n"/>
      <c r="EA96" s="70" t="n"/>
      <c r="EB96" s="70" t="n"/>
      <c r="EC96" s="70" t="n"/>
      <c r="ED96" s="70" t="n"/>
      <c r="EE96" s="70" t="n"/>
      <c r="EF96" s="70" t="n"/>
      <c r="EG96" s="70" t="n"/>
      <c r="EH96" s="70" t="n"/>
      <c r="EI96" s="70" t="n"/>
      <c r="EJ96" s="70" t="n"/>
      <c r="EK96" s="70" t="n"/>
      <c r="EL96" s="70" t="n"/>
      <c r="EM96" s="70" t="n"/>
      <c r="EN96" s="70" t="n"/>
      <c r="EO96" s="70" t="n"/>
      <c r="EP96" s="70" t="n"/>
      <c r="EQ96" s="70" t="n"/>
      <c r="ER96" s="70" t="n"/>
      <c r="ES96" s="70" t="n"/>
      <c r="ET96" s="70" t="n"/>
      <c r="EU96" s="70" t="n"/>
      <c r="EV96" s="70" t="n"/>
      <c r="EW96" s="70" t="n"/>
      <c r="EX96" s="70" t="n"/>
      <c r="EY96" s="70" t="n"/>
      <c r="EZ96" s="70" t="n"/>
      <c r="FA96" s="70" t="n"/>
      <c r="FB96" s="70" t="n"/>
      <c r="FC96" s="70" t="n"/>
      <c r="FD96" s="70" t="n"/>
      <c r="FE96" s="70" t="n"/>
      <c r="FF96" s="70" t="n"/>
      <c r="FG96" s="70" t="n"/>
      <c r="FH96" s="70" t="n"/>
      <c r="FI96" s="70" t="n"/>
      <c r="FJ96" s="70" t="n"/>
      <c r="FK96" s="70" t="n"/>
      <c r="FL96" s="70" t="n"/>
      <c r="FM96" s="70" t="n"/>
      <c r="FN96" s="70" t="n"/>
      <c r="FO96" s="70" t="n"/>
      <c r="FP96" s="70" t="n"/>
      <c r="FQ96" s="70" t="n"/>
      <c r="FR96" s="70" t="n"/>
      <c r="FS96" s="70" t="n"/>
      <c r="FT96" s="70" t="n"/>
      <c r="FU96" s="70" t="n"/>
      <c r="FV96" s="70" t="n"/>
      <c r="FW96" s="70" t="n"/>
      <c r="FX96" s="71" t="n"/>
      <c r="FY96" s="71" t="n"/>
      <c r="FZ96" s="71" t="n"/>
    </row>
    <row r="97" ht="13.35" customHeight="1" s="276">
      <c r="A97" s="55">
        <f>A96+1</f>
        <v/>
      </c>
      <c r="B97" s="72" t="inlineStr">
        <is>
          <t>Equipe Técnica</t>
        </is>
      </c>
      <c r="C97" s="63">
        <f>D97/94544605</f>
        <v/>
      </c>
      <c r="D97" s="64" t="n">
        <v>72800965.79000001</v>
      </c>
      <c r="E97" s="65" t="n">
        <v>0</v>
      </c>
      <c r="F97" s="66">
        <f>D97-E97</f>
        <v/>
      </c>
      <c r="G97" s="64" t="n">
        <v>0</v>
      </c>
      <c r="H97" s="67">
        <f>E97+G97</f>
        <v/>
      </c>
      <c r="I97" s="68">
        <f>-SUM(BM5:BM77)</f>
        <v/>
      </c>
      <c r="J97" s="69">
        <f>E97+F97+G97+I97</f>
        <v/>
      </c>
      <c r="K97" s="70" t="n"/>
      <c r="L97" s="112" t="n"/>
      <c r="M97" s="112" t="n"/>
      <c r="N97" s="70" t="n"/>
      <c r="O97" s="70" t="n"/>
      <c r="P97" s="70" t="n"/>
      <c r="Q97" s="70" t="n"/>
      <c r="R97" s="70" t="n"/>
      <c r="S97" s="70" t="n"/>
      <c r="T97" s="70" t="n"/>
      <c r="U97" s="70" t="n"/>
      <c r="V97" s="70" t="n"/>
      <c r="W97" s="70" t="n"/>
      <c r="X97" s="70" t="n"/>
      <c r="Y97" s="70" t="n"/>
      <c r="Z97" s="70" t="n"/>
      <c r="AA97" s="70" t="n"/>
      <c r="AB97" s="70" t="n"/>
      <c r="AC97" s="70" t="n"/>
      <c r="AD97" s="70" t="n"/>
      <c r="AE97" s="70" t="n"/>
      <c r="AF97" s="70" t="n"/>
      <c r="AG97" s="70" t="n"/>
      <c r="AH97" s="70" t="n"/>
      <c r="AI97" s="70" t="n"/>
      <c r="AJ97" s="70" t="n"/>
      <c r="AK97" s="70" t="n"/>
      <c r="AL97" s="70" t="n"/>
      <c r="AM97" s="70" t="n"/>
      <c r="AN97" s="70" t="n"/>
      <c r="AO97" s="70" t="n"/>
      <c r="AP97" s="70" t="n"/>
      <c r="AQ97" s="70" t="n"/>
      <c r="AR97" s="70" t="n"/>
      <c r="AS97" s="70" t="n"/>
      <c r="AT97" s="70" t="n"/>
      <c r="AU97" s="70" t="n"/>
      <c r="AV97" s="70" t="n"/>
      <c r="AW97" s="70" t="n"/>
      <c r="AX97" s="70" t="n"/>
      <c r="AY97" s="70" t="n"/>
      <c r="AZ97" s="70" t="n"/>
      <c r="BA97" s="70" t="n"/>
      <c r="BB97" s="70" t="n"/>
      <c r="BC97" s="70" t="n"/>
      <c r="BD97" s="70" t="n"/>
      <c r="BE97" s="70" t="n"/>
      <c r="BF97" s="70" t="n"/>
      <c r="BG97" s="70" t="n"/>
      <c r="BH97" s="70" t="n"/>
      <c r="BI97" s="70" t="n"/>
      <c r="BJ97" s="70" t="n"/>
      <c r="BK97" s="70" t="n"/>
      <c r="BL97" s="70" t="n"/>
      <c r="BM97" s="70" t="n"/>
      <c r="BN97" s="70" t="n"/>
      <c r="BO97" s="70" t="n"/>
      <c r="BP97" s="70" t="n"/>
      <c r="BQ97" s="70" t="n"/>
      <c r="BR97" s="70" t="n"/>
      <c r="BS97" s="70" t="n"/>
      <c r="BT97" s="70" t="n"/>
      <c r="BU97" s="70" t="n"/>
      <c r="BV97" s="70" t="n"/>
      <c r="BW97" s="70" t="n"/>
      <c r="BX97" s="70" t="n"/>
      <c r="BY97" s="70" t="n"/>
      <c r="BZ97" s="70" t="n"/>
      <c r="CA97" s="70" t="n"/>
      <c r="CB97" s="70" t="n"/>
      <c r="CC97" s="70" t="n"/>
      <c r="CD97" s="70" t="n"/>
      <c r="CE97" s="70" t="n"/>
      <c r="CF97" s="70" t="n"/>
      <c r="CG97" s="70" t="n"/>
      <c r="CH97" s="70" t="n"/>
      <c r="CI97" s="70" t="n"/>
      <c r="CJ97" s="70" t="n"/>
      <c r="CK97" s="70" t="n"/>
      <c r="CL97" s="70" t="n"/>
      <c r="CM97" s="70" t="n"/>
      <c r="CN97" s="70" t="n"/>
      <c r="CO97" s="70" t="n"/>
      <c r="CP97" s="70" t="n"/>
      <c r="CQ97" s="70" t="n"/>
      <c r="CR97" s="70" t="n"/>
      <c r="CS97" s="70" t="n"/>
      <c r="CT97" s="70" t="n"/>
      <c r="CU97" s="70" t="n"/>
      <c r="CV97" s="70" t="n"/>
      <c r="CW97" s="70" t="n"/>
      <c r="CX97" s="70" t="n"/>
      <c r="CY97" s="70" t="n"/>
      <c r="CZ97" s="70" t="n"/>
      <c r="DA97" s="70" t="n"/>
      <c r="DB97" s="70" t="n"/>
      <c r="DC97" s="70" t="n"/>
      <c r="DD97" s="70" t="n"/>
      <c r="DE97" s="70" t="n"/>
      <c r="DF97" s="70" t="n"/>
      <c r="DG97" s="70" t="n"/>
      <c r="DH97" s="70" t="n"/>
      <c r="DI97" s="70" t="n"/>
      <c r="DJ97" s="70" t="n"/>
      <c r="DK97" s="70" t="n"/>
      <c r="DL97" s="70" t="n"/>
      <c r="DM97" s="70" t="n"/>
      <c r="DN97" s="70" t="n"/>
      <c r="DO97" s="70" t="n"/>
      <c r="DP97" s="70" t="n"/>
      <c r="DQ97" s="70" t="n"/>
      <c r="DR97" s="70" t="n"/>
      <c r="DS97" s="70" t="n"/>
      <c r="DT97" s="70" t="n"/>
      <c r="DU97" s="70" t="n"/>
      <c r="DV97" s="70" t="n"/>
      <c r="DW97" s="70" t="n"/>
      <c r="DX97" s="70" t="n"/>
      <c r="DY97" s="70" t="n"/>
      <c r="DZ97" s="70" t="n"/>
      <c r="EA97" s="70" t="n"/>
      <c r="EB97" s="70" t="n"/>
      <c r="EC97" s="70" t="n"/>
      <c r="ED97" s="70" t="n"/>
      <c r="EE97" s="70" t="n"/>
      <c r="EF97" s="70" t="n"/>
      <c r="EG97" s="70" t="n"/>
      <c r="EH97" s="70" t="n"/>
      <c r="EI97" s="70" t="n"/>
      <c r="EJ97" s="70" t="n"/>
      <c r="EK97" s="70" t="n"/>
      <c r="EL97" s="70" t="n"/>
      <c r="EM97" s="70" t="n"/>
      <c r="EN97" s="70" t="n"/>
      <c r="EO97" s="70" t="n"/>
      <c r="EP97" s="70" t="n"/>
      <c r="EQ97" s="70" t="n"/>
      <c r="ER97" s="70" t="n"/>
      <c r="ES97" s="70" t="n"/>
      <c r="ET97" s="70" t="n"/>
      <c r="EU97" s="70" t="n"/>
      <c r="EV97" s="70" t="n"/>
      <c r="EW97" s="70" t="n"/>
      <c r="EX97" s="70" t="n"/>
      <c r="EY97" s="70" t="n"/>
      <c r="EZ97" s="70" t="n"/>
      <c r="FA97" s="70" t="n"/>
      <c r="FB97" s="70" t="n"/>
      <c r="FC97" s="70" t="n"/>
      <c r="FD97" s="70" t="n"/>
      <c r="FE97" s="70" t="n"/>
      <c r="FF97" s="70" t="n"/>
      <c r="FG97" s="70" t="n"/>
      <c r="FH97" s="70" t="n"/>
      <c r="FI97" s="70" t="n"/>
      <c r="FJ97" s="70" t="n"/>
      <c r="FK97" s="70" t="n"/>
      <c r="FL97" s="70" t="n"/>
      <c r="FM97" s="70" t="n"/>
      <c r="FN97" s="70" t="n"/>
      <c r="FO97" s="70" t="n"/>
      <c r="FP97" s="70" t="n"/>
      <c r="FQ97" s="70" t="n"/>
      <c r="FR97" s="70" t="n"/>
      <c r="FS97" s="70" t="n"/>
      <c r="FT97" s="70" t="n"/>
      <c r="FU97" s="70" t="n"/>
      <c r="FV97" s="70" t="n"/>
      <c r="FW97" s="70" t="n"/>
      <c r="FX97" s="71" t="n"/>
      <c r="FY97" s="71" t="n"/>
      <c r="FZ97" s="71" t="n"/>
    </row>
    <row r="98" ht="13.35" customHeight="1" s="276">
      <c r="A98" s="55">
        <f>A97+1</f>
        <v/>
      </c>
      <c r="B98" s="72" t="inlineStr">
        <is>
          <t>Equipamentos</t>
        </is>
      </c>
      <c r="C98" s="63">
        <f>D98/94544605</f>
        <v/>
      </c>
      <c r="D98" s="64" t="n">
        <v>840000</v>
      </c>
      <c r="E98" s="65" t="n">
        <v>0</v>
      </c>
      <c r="F98" s="66">
        <f>D98-E98</f>
        <v/>
      </c>
      <c r="G98" s="64" t="n">
        <v>0</v>
      </c>
      <c r="H98" s="67">
        <f>E98+G98</f>
        <v/>
      </c>
      <c r="I98" s="68">
        <f>-BM79</f>
        <v/>
      </c>
      <c r="J98" s="69">
        <f>E98+F98+G98+I98</f>
        <v/>
      </c>
      <c r="K98" s="70" t="n"/>
      <c r="L98" s="112" t="n"/>
      <c r="M98" s="112" t="n"/>
      <c r="N98" s="70" t="n"/>
      <c r="O98" s="70" t="n"/>
      <c r="P98" s="70" t="n"/>
      <c r="Q98" s="70" t="n"/>
      <c r="R98" s="70" t="n"/>
      <c r="S98" s="70" t="n"/>
      <c r="T98" s="70" t="n"/>
      <c r="U98" s="70" t="n"/>
      <c r="V98" s="70" t="n"/>
      <c r="W98" s="70" t="n"/>
      <c r="X98" s="70" t="n"/>
      <c r="Y98" s="70" t="n"/>
      <c r="Z98" s="70" t="n"/>
      <c r="AA98" s="70" t="n"/>
      <c r="AB98" s="70" t="n"/>
      <c r="AC98" s="70" t="n"/>
      <c r="AD98" s="70" t="n"/>
      <c r="AE98" s="70" t="n"/>
      <c r="AF98" s="70" t="n"/>
      <c r="AG98" s="70" t="n"/>
      <c r="AH98" s="70" t="n"/>
      <c r="AI98" s="70" t="n"/>
      <c r="AJ98" s="70" t="n"/>
      <c r="AK98" s="70" t="n"/>
      <c r="AL98" s="70" t="n"/>
      <c r="AM98" s="70" t="n"/>
      <c r="AN98" s="70" t="n"/>
      <c r="AO98" s="70" t="n"/>
      <c r="AP98" s="70" t="n"/>
      <c r="AQ98" s="70" t="n"/>
      <c r="AR98" s="70" t="n"/>
      <c r="AS98" s="70" t="n"/>
      <c r="AT98" s="70" t="n"/>
      <c r="AU98" s="70" t="n"/>
      <c r="AV98" s="70" t="n"/>
      <c r="AW98" s="70" t="n"/>
      <c r="AX98" s="70" t="n"/>
      <c r="AY98" s="70" t="n"/>
      <c r="AZ98" s="70" t="n"/>
      <c r="BA98" s="70" t="n"/>
      <c r="BB98" s="70" t="n"/>
      <c r="BC98" s="70" t="n"/>
      <c r="BD98" s="70" t="n"/>
      <c r="BE98" s="70" t="n"/>
      <c r="BF98" s="70" t="n"/>
      <c r="BG98" s="70" t="n"/>
      <c r="BH98" s="70" t="n"/>
      <c r="BI98" s="70" t="n"/>
      <c r="BJ98" s="70" t="n"/>
      <c r="BK98" s="70" t="n"/>
      <c r="BL98" s="70" t="n"/>
      <c r="BM98" s="70" t="n"/>
      <c r="BN98" s="70" t="n"/>
      <c r="BO98" s="70" t="n"/>
      <c r="BP98" s="70" t="n"/>
      <c r="BQ98" s="70" t="n"/>
      <c r="BR98" s="70" t="n"/>
      <c r="BS98" s="70" t="n"/>
      <c r="BT98" s="70" t="n"/>
      <c r="BU98" s="70" t="n"/>
      <c r="BV98" s="70" t="n"/>
      <c r="BW98" s="70" t="n"/>
      <c r="BX98" s="70" t="n"/>
      <c r="BY98" s="70" t="n"/>
      <c r="BZ98" s="70" t="n"/>
      <c r="CA98" s="70" t="n"/>
      <c r="CB98" s="70" t="n"/>
      <c r="CC98" s="70" t="n"/>
      <c r="CD98" s="70" t="n"/>
      <c r="CE98" s="70" t="n"/>
      <c r="CF98" s="70" t="n"/>
      <c r="CG98" s="70" t="n"/>
      <c r="CH98" s="70" t="n"/>
      <c r="CI98" s="70" t="n"/>
      <c r="CJ98" s="70" t="n"/>
      <c r="CK98" s="70" t="n"/>
      <c r="CL98" s="70" t="n"/>
      <c r="CM98" s="70" t="n"/>
      <c r="CN98" s="70" t="n"/>
      <c r="CO98" s="70" t="n"/>
      <c r="CP98" s="70" t="n"/>
      <c r="CQ98" s="70" t="n"/>
      <c r="CR98" s="70" t="n"/>
      <c r="CS98" s="70" t="n"/>
      <c r="CT98" s="70" t="n"/>
      <c r="CU98" s="70" t="n"/>
      <c r="CV98" s="70" t="n"/>
      <c r="CW98" s="70" t="n"/>
      <c r="CX98" s="70" t="n"/>
      <c r="CY98" s="70" t="n"/>
      <c r="CZ98" s="70" t="n"/>
      <c r="DA98" s="70" t="n"/>
      <c r="DB98" s="70" t="n"/>
      <c r="DC98" s="70" t="n"/>
      <c r="DD98" s="70" t="n"/>
      <c r="DE98" s="70" t="n"/>
      <c r="DF98" s="70" t="n"/>
      <c r="DG98" s="70" t="n"/>
      <c r="DH98" s="70" t="n"/>
      <c r="DI98" s="70" t="n"/>
      <c r="DJ98" s="70" t="n"/>
      <c r="DK98" s="70" t="n"/>
      <c r="DL98" s="70" t="n"/>
      <c r="DM98" s="70" t="n"/>
      <c r="DN98" s="70" t="n"/>
      <c r="DO98" s="70" t="n"/>
      <c r="DP98" s="70" t="n"/>
      <c r="DQ98" s="70" t="n"/>
      <c r="DR98" s="70" t="n"/>
      <c r="DS98" s="70" t="n"/>
      <c r="DT98" s="70" t="n"/>
      <c r="DU98" s="70" t="n"/>
      <c r="DV98" s="70" t="n"/>
      <c r="DW98" s="70" t="n"/>
      <c r="DX98" s="70" t="n"/>
      <c r="DY98" s="70" t="n"/>
      <c r="DZ98" s="70" t="n"/>
      <c r="EA98" s="70" t="n"/>
      <c r="EB98" s="70" t="n"/>
      <c r="EC98" s="70" t="n"/>
      <c r="ED98" s="70" t="n"/>
      <c r="EE98" s="70" t="n"/>
      <c r="EF98" s="70" t="n"/>
      <c r="EG98" s="70" t="n"/>
      <c r="EH98" s="70" t="n"/>
      <c r="EI98" s="70" t="n"/>
      <c r="EJ98" s="70" t="n"/>
      <c r="EK98" s="70" t="n"/>
      <c r="EL98" s="70" t="n"/>
      <c r="EM98" s="70" t="n"/>
      <c r="EN98" s="70" t="n"/>
      <c r="EO98" s="70" t="n"/>
      <c r="EP98" s="70" t="n"/>
      <c r="EQ98" s="70" t="n"/>
      <c r="ER98" s="70" t="n"/>
      <c r="ES98" s="70" t="n"/>
      <c r="ET98" s="70" t="n"/>
      <c r="EU98" s="70" t="n"/>
      <c r="EV98" s="70" t="n"/>
      <c r="EW98" s="70" t="n"/>
      <c r="EX98" s="70" t="n"/>
      <c r="EY98" s="70" t="n"/>
      <c r="EZ98" s="70" t="n"/>
      <c r="FA98" s="70" t="n"/>
      <c r="FB98" s="70" t="n"/>
      <c r="FC98" s="70" t="n"/>
      <c r="FD98" s="70" t="n"/>
      <c r="FE98" s="70" t="n"/>
      <c r="FF98" s="70" t="n"/>
      <c r="FG98" s="70" t="n"/>
      <c r="FH98" s="70" t="n"/>
      <c r="FI98" s="70" t="n"/>
      <c r="FJ98" s="70" t="n"/>
      <c r="FK98" s="70" t="n"/>
      <c r="FL98" s="70" t="n"/>
      <c r="FM98" s="70" t="n"/>
      <c r="FN98" s="70" t="n"/>
      <c r="FO98" s="70" t="n"/>
      <c r="FP98" s="70" t="n"/>
      <c r="FQ98" s="70" t="n"/>
      <c r="FR98" s="70" t="n"/>
      <c r="FS98" s="70" t="n"/>
      <c r="FT98" s="70" t="n"/>
      <c r="FU98" s="70" t="n"/>
      <c r="FV98" s="70" t="n"/>
      <c r="FW98" s="70" t="n"/>
      <c r="FX98" s="71" t="n"/>
      <c r="FY98" s="71" t="n"/>
      <c r="FZ98" s="71" t="n"/>
    </row>
    <row r="99" ht="13.35" customHeight="1" s="276">
      <c r="A99" s="55">
        <f>A98+1</f>
        <v/>
      </c>
      <c r="B99" s="72" t="inlineStr">
        <is>
          <t>Serviço de Terceiros</t>
        </is>
      </c>
      <c r="C99" s="63">
        <f>D99/94544605</f>
        <v/>
      </c>
      <c r="D99" s="64" t="n">
        <v>1362090</v>
      </c>
      <c r="E99" s="65" t="n">
        <v>0</v>
      </c>
      <c r="F99" s="66">
        <f>D99-E99</f>
        <v/>
      </c>
      <c r="G99" s="64" t="n">
        <v>0</v>
      </c>
      <c r="H99" s="67">
        <f>E99+G99</f>
        <v/>
      </c>
      <c r="I99" s="68">
        <f>-BM78</f>
        <v/>
      </c>
      <c r="J99" s="69">
        <f>E99+F99+G99+I99</f>
        <v/>
      </c>
      <c r="K99" s="70" t="n"/>
      <c r="L99" s="109" t="n"/>
      <c r="M99" s="386" t="n"/>
      <c r="N99" s="70" t="n"/>
      <c r="O99" s="70" t="n"/>
      <c r="P99" s="70" t="n"/>
      <c r="Q99" s="70" t="n"/>
      <c r="R99" s="70" t="n"/>
      <c r="S99" s="70" t="n"/>
      <c r="T99" s="70" t="n"/>
      <c r="U99" s="70" t="n"/>
      <c r="V99" s="70" t="n"/>
      <c r="W99" s="70" t="n"/>
      <c r="X99" s="70" t="n"/>
      <c r="Y99" s="70" t="n"/>
      <c r="Z99" s="70" t="n"/>
      <c r="AA99" s="70" t="n"/>
      <c r="AB99" s="70" t="n"/>
      <c r="AC99" s="70" t="n"/>
      <c r="AD99" s="70" t="n"/>
      <c r="AE99" s="70" t="n"/>
      <c r="AF99" s="70" t="n"/>
      <c r="AG99" s="70" t="n"/>
      <c r="AH99" s="70" t="n"/>
      <c r="AI99" s="70" t="n"/>
      <c r="AJ99" s="70" t="n"/>
      <c r="AK99" s="70" t="n"/>
      <c r="AL99" s="70" t="n"/>
      <c r="AM99" s="70" t="n"/>
      <c r="AN99" s="70" t="n"/>
      <c r="AO99" s="70" t="n"/>
      <c r="AP99" s="70" t="n"/>
      <c r="AQ99" s="70" t="n"/>
      <c r="AR99" s="70" t="n"/>
      <c r="AS99" s="70" t="n"/>
      <c r="AT99" s="70" t="n"/>
      <c r="AU99" s="70" t="n"/>
      <c r="AV99" s="70" t="n"/>
      <c r="AW99" s="70" t="n"/>
      <c r="AX99" s="70" t="n"/>
      <c r="AY99" s="70" t="n"/>
      <c r="AZ99" s="70" t="n"/>
      <c r="BA99" s="70" t="n"/>
      <c r="BB99" s="70" t="n"/>
      <c r="BC99" s="70" t="n"/>
      <c r="BD99" s="70" t="n"/>
      <c r="BE99" s="70" t="n"/>
      <c r="BF99" s="70" t="n"/>
      <c r="BG99" s="70" t="n"/>
      <c r="BH99" s="70" t="n"/>
      <c r="BI99" s="70" t="n"/>
      <c r="BJ99" s="70" t="n"/>
      <c r="BK99" s="70" t="n"/>
      <c r="BL99" s="70" t="n"/>
      <c r="BM99" s="70" t="n"/>
      <c r="BN99" s="70" t="n"/>
      <c r="BO99" s="70" t="n"/>
      <c r="BP99" s="70" t="n"/>
      <c r="BQ99" s="70" t="n"/>
      <c r="BR99" s="70" t="n"/>
      <c r="BS99" s="70" t="n"/>
      <c r="BT99" s="70" t="n"/>
      <c r="BU99" s="70" t="n"/>
      <c r="BV99" s="70" t="n"/>
      <c r="BW99" s="70" t="n"/>
      <c r="BX99" s="70" t="n"/>
      <c r="BY99" s="70" t="n"/>
      <c r="BZ99" s="70" t="n"/>
      <c r="CA99" s="70" t="n"/>
      <c r="CB99" s="70" t="n"/>
      <c r="CC99" s="70" t="n"/>
      <c r="CD99" s="70" t="n"/>
      <c r="CE99" s="70" t="n"/>
      <c r="CF99" s="70" t="n"/>
      <c r="CG99" s="70" t="n"/>
      <c r="CH99" s="70" t="n"/>
      <c r="CI99" s="70" t="n"/>
      <c r="CJ99" s="70" t="n"/>
      <c r="CK99" s="70" t="n"/>
      <c r="CL99" s="70" t="n"/>
      <c r="CM99" s="70" t="n"/>
      <c r="CN99" s="70" t="n"/>
      <c r="CO99" s="70" t="n"/>
      <c r="CP99" s="70" t="n"/>
      <c r="CQ99" s="70" t="n"/>
      <c r="CR99" s="70" t="n"/>
      <c r="CS99" s="70" t="n"/>
      <c r="CT99" s="70" t="n"/>
      <c r="CU99" s="70" t="n"/>
      <c r="CV99" s="70" t="n"/>
      <c r="CW99" s="70" t="n"/>
      <c r="CX99" s="70" t="n"/>
      <c r="CY99" s="70" t="n"/>
      <c r="CZ99" s="70" t="n"/>
      <c r="DA99" s="70" t="n"/>
      <c r="DB99" s="70" t="n"/>
      <c r="DC99" s="70" t="n"/>
      <c r="DD99" s="70" t="n"/>
      <c r="DE99" s="70" t="n"/>
      <c r="DF99" s="70" t="n"/>
      <c r="DG99" s="70" t="n"/>
      <c r="DH99" s="70" t="n"/>
      <c r="DI99" s="70" t="n"/>
      <c r="DJ99" s="70" t="n"/>
      <c r="DK99" s="70" t="n"/>
      <c r="DL99" s="70" t="n"/>
      <c r="DM99" s="70" t="n"/>
      <c r="DN99" s="70" t="n"/>
      <c r="DO99" s="70" t="n"/>
      <c r="DP99" s="70" t="n"/>
      <c r="DQ99" s="70" t="n"/>
      <c r="DR99" s="70" t="n"/>
      <c r="DS99" s="70" t="n"/>
      <c r="DT99" s="70" t="n"/>
      <c r="DU99" s="70" t="n"/>
      <c r="DV99" s="70" t="n"/>
      <c r="DW99" s="70" t="n"/>
      <c r="DX99" s="70" t="n"/>
      <c r="DY99" s="70" t="n"/>
      <c r="DZ99" s="70" t="n"/>
      <c r="EA99" s="70" t="n"/>
      <c r="EB99" s="70" t="n"/>
      <c r="EC99" s="70" t="n"/>
      <c r="ED99" s="70" t="n"/>
      <c r="EE99" s="70" t="n"/>
      <c r="EF99" s="70" t="n"/>
      <c r="EG99" s="70" t="n"/>
      <c r="EH99" s="70" t="n"/>
      <c r="EI99" s="70" t="n"/>
      <c r="EJ99" s="70" t="n"/>
      <c r="EK99" s="70" t="n"/>
      <c r="EL99" s="70" t="n"/>
      <c r="EM99" s="70" t="n"/>
      <c r="EN99" s="70" t="n"/>
      <c r="EO99" s="70" t="n"/>
      <c r="EP99" s="70" t="n"/>
      <c r="EQ99" s="70" t="n"/>
      <c r="ER99" s="70" t="n"/>
      <c r="ES99" s="70" t="n"/>
      <c r="ET99" s="70" t="n"/>
      <c r="EU99" s="70" t="n"/>
      <c r="EV99" s="70" t="n"/>
      <c r="EW99" s="70" t="n"/>
      <c r="EX99" s="70" t="n"/>
      <c r="EY99" s="70" t="n"/>
      <c r="EZ99" s="70" t="n"/>
      <c r="FA99" s="70" t="n"/>
      <c r="FB99" s="70" t="n"/>
      <c r="FC99" s="70" t="n"/>
      <c r="FD99" s="70" t="n"/>
      <c r="FE99" s="70" t="n"/>
      <c r="FF99" s="70" t="n"/>
      <c r="FG99" s="70" t="n"/>
      <c r="FH99" s="70" t="n"/>
      <c r="FI99" s="70" t="n"/>
      <c r="FJ99" s="70" t="n"/>
      <c r="FK99" s="70" t="n"/>
      <c r="FL99" s="70" t="n"/>
      <c r="FM99" s="70" t="n"/>
      <c r="FN99" s="70" t="n"/>
      <c r="FO99" s="70" t="n"/>
      <c r="FP99" s="70" t="n"/>
      <c r="FQ99" s="70" t="n"/>
      <c r="FR99" s="70" t="n"/>
      <c r="FS99" s="70" t="n"/>
      <c r="FT99" s="70" t="n"/>
      <c r="FU99" s="70" t="n"/>
      <c r="FV99" s="70" t="n"/>
      <c r="FW99" s="70" t="n"/>
      <c r="FX99" s="71" t="n"/>
      <c r="FY99" s="71" t="n"/>
      <c r="FZ99" s="71" t="n"/>
    </row>
    <row r="100" ht="13.35" customHeight="1" s="276">
      <c r="A100" s="55">
        <f>A99+1</f>
        <v/>
      </c>
      <c r="B100" s="72" t="inlineStr">
        <is>
          <t>FAPEU</t>
        </is>
      </c>
      <c r="C100" s="63">
        <f>D100/94544605</f>
        <v/>
      </c>
      <c r="D100" s="64" t="n">
        <v>6863938.32</v>
      </c>
      <c r="E100" s="65" t="n">
        <v>0</v>
      </c>
      <c r="F100" s="66">
        <f>D100-E100</f>
        <v/>
      </c>
      <c r="G100" s="64" t="n">
        <v>0</v>
      </c>
      <c r="H100" s="67">
        <f>E100+G100</f>
        <v/>
      </c>
      <c r="I100" s="68">
        <f>-BM84</f>
        <v/>
      </c>
      <c r="J100" s="69">
        <f>E100+F100+G100+I100</f>
        <v/>
      </c>
      <c r="K100" s="70" t="n"/>
      <c r="L100" s="109" t="n"/>
      <c r="M100" s="110" t="n"/>
      <c r="N100" s="70" t="n"/>
      <c r="O100" s="70" t="n"/>
      <c r="P100" s="70" t="n"/>
      <c r="Q100" s="70" t="n"/>
      <c r="R100" s="70" t="n"/>
      <c r="S100" s="70" t="n"/>
      <c r="T100" s="70" t="n"/>
      <c r="U100" s="70" t="n"/>
      <c r="V100" s="70" t="n"/>
      <c r="W100" s="70" t="n"/>
      <c r="X100" s="70" t="n"/>
      <c r="Y100" s="70" t="n"/>
      <c r="Z100" s="70" t="n"/>
      <c r="AA100" s="70" t="n"/>
      <c r="AB100" s="70" t="n"/>
      <c r="AC100" s="70" t="n"/>
      <c r="AD100" s="70" t="n"/>
      <c r="AE100" s="70" t="n"/>
      <c r="AF100" s="70" t="n"/>
      <c r="AG100" s="70" t="n"/>
      <c r="AH100" s="70" t="n"/>
      <c r="AI100" s="70" t="n"/>
      <c r="AJ100" s="70" t="n"/>
      <c r="AK100" s="70" t="n"/>
      <c r="AL100" s="70" t="n"/>
      <c r="AM100" s="70" t="n"/>
      <c r="AN100" s="70" t="n"/>
      <c r="AO100" s="70" t="n"/>
      <c r="AP100" s="70" t="n"/>
      <c r="AQ100" s="70" t="n"/>
      <c r="AR100" s="70" t="n"/>
      <c r="AS100" s="70" t="n"/>
      <c r="AT100" s="70" t="n"/>
      <c r="AU100" s="70" t="n"/>
      <c r="AV100" s="70" t="n"/>
      <c r="AW100" s="70" t="n"/>
      <c r="AX100" s="70" t="n"/>
      <c r="AY100" s="70" t="n"/>
      <c r="AZ100" s="70" t="n"/>
      <c r="BA100" s="70" t="n"/>
      <c r="BB100" s="70" t="n"/>
      <c r="BC100" s="70" t="n"/>
      <c r="BD100" s="70" t="n"/>
      <c r="BE100" s="70" t="n"/>
      <c r="BF100" s="70" t="n"/>
      <c r="BG100" s="70" t="n"/>
      <c r="BH100" s="70" t="n"/>
      <c r="BI100" s="70" t="n"/>
      <c r="BJ100" s="70" t="n"/>
      <c r="BK100" s="70" t="n"/>
      <c r="BL100" s="70" t="n"/>
      <c r="BM100" s="70" t="n"/>
      <c r="BN100" s="70" t="n"/>
      <c r="BO100" s="70" t="n"/>
      <c r="BP100" s="70" t="n"/>
      <c r="BQ100" s="70" t="n"/>
      <c r="BR100" s="70" t="n"/>
      <c r="BS100" s="70" t="n"/>
      <c r="BT100" s="70" t="n"/>
      <c r="BU100" s="70" t="n"/>
      <c r="BV100" s="70" t="n"/>
      <c r="BW100" s="70" t="n"/>
      <c r="BX100" s="70" t="n"/>
      <c r="BY100" s="70" t="n"/>
      <c r="BZ100" s="70" t="n"/>
      <c r="CA100" s="70" t="n"/>
      <c r="CB100" s="70" t="n"/>
      <c r="CC100" s="70" t="n"/>
      <c r="CD100" s="70" t="n"/>
      <c r="CE100" s="70" t="n"/>
      <c r="CF100" s="70" t="n"/>
      <c r="CG100" s="70" t="n"/>
      <c r="CH100" s="70" t="n"/>
      <c r="CI100" s="70" t="n"/>
      <c r="CJ100" s="70" t="n"/>
      <c r="CK100" s="70" t="n"/>
      <c r="CL100" s="70" t="n"/>
      <c r="CM100" s="70" t="n"/>
      <c r="CN100" s="70" t="n"/>
      <c r="CO100" s="70" t="n"/>
      <c r="CP100" s="70" t="n"/>
      <c r="CQ100" s="70" t="n"/>
      <c r="CR100" s="70" t="n"/>
      <c r="CS100" s="70" t="n"/>
      <c r="CT100" s="70" t="n"/>
      <c r="CU100" s="70" t="n"/>
      <c r="CV100" s="70" t="n"/>
      <c r="CW100" s="70" t="n"/>
      <c r="CX100" s="70" t="n"/>
      <c r="CY100" s="70" t="n"/>
      <c r="CZ100" s="70" t="n"/>
      <c r="DA100" s="70" t="n"/>
      <c r="DB100" s="70" t="n"/>
      <c r="DC100" s="70" t="n"/>
      <c r="DD100" s="70" t="n"/>
      <c r="DE100" s="70" t="n"/>
      <c r="DF100" s="70" t="n"/>
      <c r="DG100" s="70" t="n"/>
      <c r="DH100" s="70" t="n"/>
      <c r="DI100" s="70" t="n"/>
      <c r="DJ100" s="70" t="n"/>
      <c r="DK100" s="70" t="n"/>
      <c r="DL100" s="70" t="n"/>
      <c r="DM100" s="70" t="n"/>
      <c r="DN100" s="70" t="n"/>
      <c r="DO100" s="70" t="n"/>
      <c r="DP100" s="70" t="n"/>
      <c r="DQ100" s="70" t="n"/>
      <c r="DR100" s="70" t="n"/>
      <c r="DS100" s="70" t="n"/>
      <c r="DT100" s="70" t="n"/>
      <c r="DU100" s="70" t="n"/>
      <c r="DV100" s="70" t="n"/>
      <c r="DW100" s="70" t="n"/>
      <c r="DX100" s="70" t="n"/>
      <c r="DY100" s="70" t="n"/>
      <c r="DZ100" s="70" t="n"/>
      <c r="EA100" s="70" t="n"/>
      <c r="EB100" s="70" t="n"/>
      <c r="EC100" s="70" t="n"/>
      <c r="ED100" s="70" t="n"/>
      <c r="EE100" s="70" t="n"/>
      <c r="EF100" s="70" t="n"/>
      <c r="EG100" s="70" t="n"/>
      <c r="EH100" s="70" t="n"/>
      <c r="EI100" s="70" t="n"/>
      <c r="EJ100" s="70" t="n"/>
      <c r="EK100" s="70" t="n"/>
      <c r="EL100" s="70" t="n"/>
      <c r="EM100" s="70" t="n"/>
      <c r="EN100" s="70" t="n"/>
      <c r="EO100" s="70" t="n"/>
      <c r="EP100" s="70" t="n"/>
      <c r="EQ100" s="70" t="n"/>
      <c r="ER100" s="70" t="n"/>
      <c r="ES100" s="70" t="n"/>
      <c r="ET100" s="70" t="n"/>
      <c r="EU100" s="70" t="n"/>
      <c r="EV100" s="70" t="n"/>
      <c r="EW100" s="70" t="n"/>
      <c r="EX100" s="70" t="n"/>
      <c r="EY100" s="70" t="n"/>
      <c r="EZ100" s="70" t="n"/>
      <c r="FA100" s="70" t="n"/>
      <c r="FB100" s="70" t="n"/>
      <c r="FC100" s="70" t="n"/>
      <c r="FD100" s="70" t="n"/>
      <c r="FE100" s="70" t="n"/>
      <c r="FF100" s="70" t="n"/>
      <c r="FG100" s="70" t="n"/>
      <c r="FH100" s="70" t="n"/>
      <c r="FI100" s="70" t="n"/>
      <c r="FJ100" s="70" t="n"/>
      <c r="FK100" s="70" t="n"/>
      <c r="FL100" s="70" t="n"/>
      <c r="FM100" s="70" t="n"/>
      <c r="FN100" s="70" t="n"/>
      <c r="FO100" s="70" t="n"/>
      <c r="FP100" s="70" t="n"/>
      <c r="FQ100" s="70" t="n"/>
      <c r="FR100" s="70" t="n"/>
      <c r="FS100" s="70" t="n"/>
      <c r="FT100" s="70" t="n"/>
      <c r="FU100" s="70" t="n"/>
      <c r="FV100" s="70" t="n"/>
      <c r="FW100" s="70" t="n"/>
      <c r="FX100" s="71" t="n"/>
      <c r="FY100" s="71" t="n"/>
      <c r="FZ100" s="71" t="n"/>
    </row>
    <row r="101" ht="13.35" customHeight="1" s="276">
      <c r="A101" s="55">
        <f>A100+1</f>
        <v/>
      </c>
      <c r="B101" s="72" t="inlineStr">
        <is>
          <t>UFSC</t>
        </is>
      </c>
      <c r="C101" s="63">
        <f>D101/94544605</f>
        <v/>
      </c>
      <c r="D101" s="64" t="n">
        <v>6618122.35</v>
      </c>
      <c r="E101" s="65" t="n">
        <v>0</v>
      </c>
      <c r="F101" s="66">
        <f>D101-E101</f>
        <v/>
      </c>
      <c r="G101" s="64" t="n">
        <v>0</v>
      </c>
      <c r="H101" s="67">
        <f>E101+G101</f>
        <v/>
      </c>
      <c r="I101" s="68">
        <f>-SUM(BM85:BM87)</f>
        <v/>
      </c>
      <c r="J101" s="69">
        <f>E101+F101+G101+I101</f>
        <v/>
      </c>
      <c r="K101" s="70" t="n"/>
      <c r="L101" s="109" t="n"/>
      <c r="M101" s="386" t="n"/>
      <c r="N101" s="70" t="n"/>
      <c r="O101" s="70" t="n"/>
      <c r="P101" s="70" t="n"/>
      <c r="Q101" s="70" t="n"/>
      <c r="R101" s="70" t="n"/>
      <c r="S101" s="70" t="n"/>
      <c r="T101" s="70" t="n"/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  <c r="AJ101" s="70" t="n"/>
      <c r="AK101" s="70" t="n"/>
      <c r="AL101" s="70" t="n"/>
      <c r="AM101" s="70" t="n"/>
      <c r="AN101" s="70" t="n"/>
      <c r="AO101" s="70" t="n"/>
      <c r="AP101" s="70" t="n"/>
      <c r="AQ101" s="70" t="n"/>
      <c r="AR101" s="70" t="n"/>
      <c r="AS101" s="70" t="n"/>
      <c r="AT101" s="70" t="n"/>
      <c r="AU101" s="70" t="n"/>
      <c r="AV101" s="70" t="n"/>
      <c r="AW101" s="70" t="n"/>
      <c r="AX101" s="70" t="n"/>
      <c r="AY101" s="70" t="n"/>
      <c r="AZ101" s="70" t="n"/>
      <c r="BA101" s="70" t="n"/>
      <c r="BB101" s="70" t="n"/>
      <c r="BC101" s="70" t="n"/>
      <c r="BD101" s="70" t="n"/>
      <c r="BE101" s="70" t="n"/>
      <c r="BF101" s="70" t="n"/>
      <c r="BG101" s="70" t="n"/>
      <c r="BH101" s="70" t="n"/>
      <c r="BI101" s="70" t="n"/>
      <c r="BJ101" s="70" t="n"/>
      <c r="BK101" s="70" t="n"/>
      <c r="BL101" s="70" t="n"/>
      <c r="BM101" s="70" t="n"/>
      <c r="BN101" s="70" t="n"/>
      <c r="BO101" s="70" t="n"/>
      <c r="BP101" s="70" t="n"/>
      <c r="BQ101" s="70" t="n"/>
      <c r="BR101" s="70" t="n"/>
      <c r="BS101" s="70" t="n"/>
      <c r="BT101" s="70" t="n"/>
      <c r="BU101" s="70" t="n"/>
      <c r="BV101" s="70" t="n"/>
      <c r="BW101" s="70" t="n"/>
      <c r="BX101" s="70" t="n"/>
      <c r="BY101" s="70" t="n"/>
      <c r="BZ101" s="70" t="n"/>
      <c r="CA101" s="70" t="n"/>
      <c r="CB101" s="70" t="n"/>
      <c r="CC101" s="70" t="n"/>
      <c r="CD101" s="70" t="n"/>
      <c r="CE101" s="70" t="n"/>
      <c r="CF101" s="70" t="n"/>
      <c r="CG101" s="70" t="n"/>
      <c r="CH101" s="70" t="n"/>
      <c r="CI101" s="70" t="n"/>
      <c r="CJ101" s="70" t="n"/>
      <c r="CK101" s="70" t="n"/>
      <c r="CL101" s="70" t="n"/>
      <c r="CM101" s="70" t="n"/>
      <c r="CN101" s="70" t="n"/>
      <c r="CO101" s="70" t="n"/>
      <c r="CP101" s="70" t="n"/>
      <c r="CQ101" s="70" t="n"/>
      <c r="CR101" s="70" t="n"/>
      <c r="CS101" s="70" t="n"/>
      <c r="CT101" s="70" t="n"/>
      <c r="CU101" s="70" t="n"/>
      <c r="CV101" s="70" t="n"/>
      <c r="CW101" s="70" t="n"/>
      <c r="CX101" s="70" t="n"/>
      <c r="CY101" s="70" t="n"/>
      <c r="CZ101" s="70" t="n"/>
      <c r="DA101" s="70" t="n"/>
      <c r="DB101" s="70" t="n"/>
      <c r="DC101" s="70" t="n"/>
      <c r="DD101" s="70" t="n"/>
      <c r="DE101" s="70" t="n"/>
      <c r="DF101" s="70" t="n"/>
      <c r="DG101" s="70" t="n"/>
      <c r="DH101" s="70" t="n"/>
      <c r="DI101" s="70" t="n"/>
      <c r="DJ101" s="70" t="n"/>
      <c r="DK101" s="70" t="n"/>
      <c r="DL101" s="70" t="n"/>
      <c r="DM101" s="70" t="n"/>
      <c r="DN101" s="70" t="n"/>
      <c r="DO101" s="70" t="n"/>
      <c r="DP101" s="70" t="n"/>
      <c r="DQ101" s="70" t="n"/>
      <c r="DR101" s="70" t="n"/>
      <c r="DS101" s="70" t="n"/>
      <c r="DT101" s="70" t="n"/>
      <c r="DU101" s="70" t="n"/>
      <c r="DV101" s="70" t="n"/>
      <c r="DW101" s="70" t="n"/>
      <c r="DX101" s="70" t="n"/>
      <c r="DY101" s="70" t="n"/>
      <c r="DZ101" s="70" t="n"/>
      <c r="EA101" s="70" t="n"/>
      <c r="EB101" s="70" t="n"/>
      <c r="EC101" s="70" t="n"/>
      <c r="ED101" s="70" t="n"/>
      <c r="EE101" s="70" t="n"/>
      <c r="EF101" s="70" t="n"/>
      <c r="EG101" s="70" t="n"/>
      <c r="EH101" s="70" t="n"/>
      <c r="EI101" s="70" t="n"/>
      <c r="EJ101" s="70" t="n"/>
      <c r="EK101" s="70" t="n"/>
      <c r="EL101" s="70" t="n"/>
      <c r="EM101" s="70" t="n"/>
      <c r="EN101" s="70" t="n"/>
      <c r="EO101" s="70" t="n"/>
      <c r="EP101" s="70" t="n"/>
      <c r="EQ101" s="70" t="n"/>
      <c r="ER101" s="70" t="n"/>
      <c r="ES101" s="70" t="n"/>
      <c r="ET101" s="70" t="n"/>
      <c r="EU101" s="70" t="n"/>
      <c r="EV101" s="70" t="n"/>
      <c r="EW101" s="70" t="n"/>
      <c r="EX101" s="70" t="n"/>
      <c r="EY101" s="70" t="n"/>
      <c r="EZ101" s="70" t="n"/>
      <c r="FA101" s="70" t="n"/>
      <c r="FB101" s="70" t="n"/>
      <c r="FC101" s="70" t="n"/>
      <c r="FD101" s="70" t="n"/>
      <c r="FE101" s="70" t="n"/>
      <c r="FF101" s="70" t="n"/>
      <c r="FG101" s="70" t="n"/>
      <c r="FH101" s="70" t="n"/>
      <c r="FI101" s="70" t="n"/>
      <c r="FJ101" s="70" t="n"/>
      <c r="FK101" s="70" t="n"/>
      <c r="FL101" s="70" t="n"/>
      <c r="FM101" s="70" t="n"/>
      <c r="FN101" s="70" t="n"/>
      <c r="FO101" s="70" t="n"/>
      <c r="FP101" s="70" t="n"/>
      <c r="FQ101" s="70" t="n"/>
      <c r="FR101" s="70" t="n"/>
      <c r="FS101" s="70" t="n"/>
      <c r="FT101" s="70" t="n"/>
      <c r="FU101" s="70" t="n"/>
      <c r="FV101" s="70" t="n"/>
      <c r="FW101" s="70" t="n"/>
      <c r="FX101" s="71" t="n"/>
      <c r="FY101" s="71" t="n"/>
      <c r="FZ101" s="71" t="n"/>
    </row>
    <row r="102" ht="13.35" customHeight="1" s="276">
      <c r="A102" s="76" t="n"/>
      <c r="B102" s="62" t="inlineStr">
        <is>
          <t>Totais</t>
        </is>
      </c>
      <c r="C102" s="77">
        <f>SUM(C94:C101)</f>
        <v/>
      </c>
      <c r="D102" s="78">
        <f>SUM(D93:D101)</f>
        <v/>
      </c>
      <c r="E102" s="78">
        <f>SUM(E93:E101)</f>
        <v/>
      </c>
      <c r="F102" s="78">
        <f>SUM(F93:F101)</f>
        <v/>
      </c>
      <c r="G102" s="78">
        <f>SUM(G93:G101)</f>
        <v/>
      </c>
      <c r="H102" s="78">
        <f>SUM(H93:H101)</f>
        <v/>
      </c>
      <c r="I102" s="78">
        <f>SUM(I93:I101)</f>
        <v/>
      </c>
      <c r="J102" s="78">
        <f>SUM(J93:J101)</f>
        <v/>
      </c>
      <c r="K102" s="79" t="n"/>
      <c r="M102" s="79" t="n"/>
      <c r="N102" s="79" t="n"/>
      <c r="O102" s="79" t="n"/>
      <c r="P102" s="79" t="n"/>
      <c r="Q102" s="79" t="n"/>
      <c r="R102" s="79" t="n"/>
      <c r="S102" s="79" t="n"/>
      <c r="T102" s="79" t="n"/>
      <c r="U102" s="79" t="n"/>
      <c r="V102" s="79" t="n"/>
      <c r="W102" s="79" t="n"/>
      <c r="X102" s="70" t="n"/>
      <c r="Y102" s="70" t="n"/>
      <c r="Z102" s="70" t="n"/>
      <c r="AA102" s="70" t="n"/>
      <c r="AB102" s="70" t="n"/>
      <c r="AC102" s="70" t="n"/>
      <c r="AD102" s="70" t="n"/>
      <c r="AE102" s="70" t="n"/>
      <c r="AF102" s="70" t="n"/>
      <c r="AG102" s="70" t="n"/>
      <c r="AH102" s="70" t="n"/>
      <c r="AI102" s="70" t="n"/>
      <c r="AJ102" s="70" t="n"/>
      <c r="AK102" s="70" t="n"/>
      <c r="AL102" s="70" t="n"/>
      <c r="AM102" s="70" t="n"/>
      <c r="AN102" s="70" t="n"/>
      <c r="AO102" s="70" t="n"/>
      <c r="AP102" s="70" t="n"/>
      <c r="AQ102" s="70" t="n"/>
      <c r="AR102" s="70" t="n"/>
      <c r="AS102" s="70" t="n"/>
      <c r="AT102" s="70" t="n"/>
      <c r="AU102" s="70" t="n"/>
      <c r="AV102" s="70" t="n"/>
      <c r="AW102" s="70" t="n"/>
      <c r="AX102" s="70" t="n"/>
      <c r="AY102" s="70" t="n"/>
      <c r="AZ102" s="70" t="n"/>
      <c r="BA102" s="70" t="n"/>
      <c r="BB102" s="70" t="n"/>
      <c r="BC102" s="70" t="n"/>
      <c r="BD102" s="70" t="n"/>
      <c r="BE102" s="70" t="n"/>
      <c r="BF102" s="70" t="n"/>
      <c r="BG102" s="70" t="n"/>
      <c r="BH102" s="70" t="n"/>
      <c r="BI102" s="70" t="n"/>
      <c r="BJ102" s="70" t="n"/>
      <c r="BK102" s="70" t="n"/>
      <c r="BL102" s="70" t="n"/>
      <c r="BM102" s="70" t="n"/>
      <c r="BN102" s="70" t="n"/>
      <c r="BO102" s="70" t="n"/>
      <c r="BP102" s="70" t="n"/>
      <c r="BQ102" s="70" t="n"/>
      <c r="BR102" s="70" t="n"/>
      <c r="BS102" s="70" t="n"/>
      <c r="BT102" s="70" t="n"/>
      <c r="BU102" s="70" t="n"/>
      <c r="BV102" s="70" t="n"/>
      <c r="BW102" s="70" t="n"/>
      <c r="BX102" s="70" t="n"/>
      <c r="BY102" s="70" t="n"/>
      <c r="BZ102" s="70" t="n"/>
      <c r="CA102" s="70" t="n"/>
      <c r="CB102" s="70" t="n"/>
      <c r="CC102" s="70" t="n"/>
      <c r="CD102" s="70" t="n"/>
      <c r="CE102" s="70" t="n"/>
      <c r="CF102" s="70" t="n"/>
      <c r="CG102" s="70" t="n"/>
      <c r="CH102" s="70" t="n"/>
      <c r="CI102" s="70" t="n"/>
      <c r="CJ102" s="70" t="n"/>
      <c r="CK102" s="70" t="n"/>
      <c r="CL102" s="70" t="n"/>
      <c r="CM102" s="70" t="n"/>
      <c r="CN102" s="70" t="n"/>
      <c r="CO102" s="70" t="n"/>
      <c r="CP102" s="70" t="n"/>
      <c r="CQ102" s="70" t="n"/>
      <c r="CR102" s="70" t="n"/>
      <c r="CS102" s="70" t="n"/>
      <c r="CT102" s="70" t="n"/>
      <c r="CU102" s="70" t="n"/>
      <c r="CV102" s="70" t="n"/>
      <c r="CW102" s="70" t="n"/>
      <c r="CX102" s="70" t="n"/>
      <c r="CY102" s="70" t="n"/>
      <c r="CZ102" s="70" t="n"/>
      <c r="DA102" s="70" t="n"/>
      <c r="DB102" s="70" t="n"/>
      <c r="DC102" s="70" t="n"/>
      <c r="DD102" s="70" t="n"/>
      <c r="DE102" s="70" t="n"/>
      <c r="DF102" s="70" t="n"/>
      <c r="DG102" s="70" t="n"/>
      <c r="DH102" s="70" t="n"/>
      <c r="DI102" s="70" t="n"/>
      <c r="DJ102" s="70" t="n"/>
      <c r="DK102" s="70" t="n"/>
      <c r="DL102" s="70" t="n"/>
      <c r="DM102" s="70" t="n"/>
      <c r="DN102" s="70" t="n"/>
      <c r="DO102" s="70" t="n"/>
      <c r="DP102" s="70" t="n"/>
      <c r="DQ102" s="70" t="n"/>
      <c r="DR102" s="70" t="n"/>
      <c r="DS102" s="70" t="n"/>
      <c r="DT102" s="70" t="n"/>
      <c r="DU102" s="70" t="n"/>
      <c r="DV102" s="70" t="n"/>
      <c r="DW102" s="70" t="n"/>
      <c r="DX102" s="70" t="n"/>
      <c r="DY102" s="70" t="n"/>
      <c r="DZ102" s="70" t="n"/>
      <c r="EA102" s="70" t="n"/>
      <c r="EB102" s="70" t="n"/>
      <c r="EC102" s="70" t="n"/>
      <c r="ED102" s="70" t="n"/>
      <c r="EE102" s="70" t="n"/>
      <c r="EF102" s="70" t="n"/>
      <c r="EG102" s="70" t="n"/>
      <c r="EH102" s="70" t="n"/>
      <c r="EI102" s="70" t="n"/>
      <c r="EJ102" s="70" t="n"/>
      <c r="EK102" s="70" t="n"/>
      <c r="EL102" s="70" t="n"/>
      <c r="EM102" s="70" t="n"/>
      <c r="EN102" s="70" t="n"/>
      <c r="EO102" s="70" t="n"/>
      <c r="EP102" s="70" t="n"/>
      <c r="EQ102" s="70" t="n"/>
      <c r="ER102" s="70" t="n"/>
      <c r="ES102" s="70" t="n"/>
      <c r="ET102" s="70" t="n"/>
      <c r="EU102" s="70" t="n"/>
      <c r="EV102" s="70" t="n"/>
      <c r="EW102" s="70" t="n"/>
      <c r="EX102" s="70" t="n"/>
      <c r="EY102" s="70" t="n"/>
      <c r="EZ102" s="70" t="n"/>
      <c r="FA102" s="70" t="n"/>
      <c r="FB102" s="70" t="n"/>
      <c r="FC102" s="70" t="n"/>
      <c r="FD102" s="70" t="n"/>
      <c r="FE102" s="70" t="n"/>
      <c r="FF102" s="70" t="n"/>
      <c r="FG102" s="70" t="n"/>
      <c r="FH102" s="70" t="n"/>
      <c r="FI102" s="70" t="n"/>
      <c r="FJ102" s="70" t="n"/>
      <c r="FK102" s="70" t="n"/>
      <c r="FL102" s="70" t="n"/>
      <c r="FM102" s="70" t="n"/>
      <c r="FN102" s="70" t="n"/>
      <c r="FO102" s="70" t="n"/>
      <c r="FP102" s="70" t="n"/>
      <c r="FQ102" s="70" t="n"/>
      <c r="FR102" s="70" t="n"/>
      <c r="FS102" s="70" t="n"/>
      <c r="FT102" s="70" t="n"/>
      <c r="FU102" s="70" t="n"/>
      <c r="FV102" s="70" t="n"/>
      <c r="FW102" s="70" t="n"/>
      <c r="FX102" s="71" t="n"/>
      <c r="FY102" s="71" t="n"/>
      <c r="FZ102" s="71" t="n"/>
    </row>
    <row r="103">
      <c r="A103" s="47" t="n"/>
      <c r="C103" s="303" t="n"/>
    </row>
    <row r="104">
      <c r="A104" s="47" t="n"/>
      <c r="C104" s="303" t="n"/>
    </row>
    <row r="105" ht="12.75" customHeight="1" s="276">
      <c r="A105" s="281" t="inlineStr">
        <is>
          <t>Vigência do TED</t>
        </is>
      </c>
      <c r="B105" s="257" t="n"/>
      <c r="C105" s="255" t="n"/>
      <c r="D105" s="82" t="n"/>
      <c r="E105" s="82" t="n"/>
      <c r="J105" s="71" t="n"/>
    </row>
    <row r="106" ht="12.75" customHeight="1" s="276">
      <c r="A106" s="281" t="inlineStr">
        <is>
          <t>Vigência de Execução</t>
        </is>
      </c>
      <c r="B106" s="257" t="n"/>
      <c r="C106" s="255" t="n"/>
      <c r="D106" s="82" t="n"/>
      <c r="E106" s="82" t="n"/>
    </row>
    <row r="107" ht="12.75" customHeight="1" s="276">
      <c r="A107" s="281" t="inlineStr">
        <is>
          <t>Vigência do Contrato</t>
        </is>
      </c>
      <c r="B107" s="257" t="n"/>
      <c r="C107" s="255" t="n"/>
      <c r="D107" s="82" t="n"/>
      <c r="E107" s="82" t="n"/>
    </row>
    <row r="108" ht="12.75" customHeight="1" s="276">
      <c r="A108" s="283" t="inlineStr">
        <is>
          <t>Fiscais</t>
        </is>
      </c>
      <c r="B108" s="257" t="n"/>
      <c r="C108" s="255" t="n"/>
      <c r="D108" s="365" t="n"/>
      <c r="E108" s="365" t="n"/>
    </row>
    <row r="109">
      <c r="A109" s="47" t="n"/>
    </row>
    <row r="110">
      <c r="A110" s="47" t="n"/>
    </row>
    <row r="111">
      <c r="A111" s="47" t="n"/>
      <c r="B111" s="303" t="n"/>
      <c r="D111" s="366" t="n"/>
    </row>
    <row r="112">
      <c r="A112" s="47" t="n"/>
      <c r="B112" s="303" t="n"/>
    </row>
    <row r="113">
      <c r="A113" s="47" t="n"/>
      <c r="B113" s="303" t="n"/>
    </row>
    <row r="114">
      <c r="A114" s="47" t="n"/>
      <c r="B114" s="303" t="n"/>
    </row>
    <row r="115">
      <c r="A115" s="47" t="n"/>
      <c r="B115" s="303" t="n"/>
    </row>
    <row r="116">
      <c r="A116" s="47" t="n"/>
      <c r="B116" s="303" t="n"/>
    </row>
    <row r="117">
      <c r="A117" s="47" t="n"/>
      <c r="B117" s="303" t="n"/>
    </row>
    <row r="118">
      <c r="A118" s="47" t="n"/>
      <c r="B118" s="303" t="n"/>
    </row>
    <row r="119">
      <c r="A119" s="47" t="n"/>
      <c r="B119" s="303" t="n"/>
    </row>
    <row r="120">
      <c r="A120" s="47" t="n"/>
      <c r="B120" s="303" t="n"/>
    </row>
    <row r="121">
      <c r="A121" s="47" t="n"/>
      <c r="B121" s="303" t="n"/>
    </row>
    <row r="122">
      <c r="A122" s="47" t="n"/>
      <c r="B122" s="303" t="n"/>
    </row>
    <row r="123">
      <c r="A123" s="47" t="n"/>
      <c r="B123" s="303" t="n"/>
    </row>
    <row r="124">
      <c r="A124" s="47" t="n"/>
      <c r="B124" s="303" t="n"/>
    </row>
    <row r="125">
      <c r="A125" s="47" t="n"/>
      <c r="B125" s="303" t="n"/>
    </row>
    <row r="126">
      <c r="A126" s="47" t="n"/>
    </row>
    <row r="127">
      <c r="A127" s="47" t="n"/>
      <c r="B127" s="367" t="n"/>
    </row>
    <row r="128">
      <c r="A128" s="47" t="n"/>
    </row>
    <row r="129">
      <c r="A129" s="47" t="n"/>
    </row>
    <row r="130">
      <c r="A130" s="47" t="n"/>
    </row>
    <row r="131">
      <c r="A131" s="47" t="n"/>
    </row>
    <row r="132">
      <c r="A132" s="47" t="n"/>
    </row>
    <row r="133">
      <c r="A133" s="47" t="n"/>
    </row>
    <row r="134">
      <c r="A134" s="47" t="n"/>
    </row>
    <row r="135">
      <c r="A135" s="47" t="n"/>
    </row>
    <row r="136">
      <c r="A136" s="47" t="n"/>
    </row>
    <row r="137">
      <c r="A137" s="47" t="n"/>
    </row>
    <row r="138">
      <c r="A138" s="47" t="n"/>
    </row>
    <row r="139">
      <c r="A139" s="47" t="n"/>
    </row>
    <row r="140">
      <c r="A140" s="47" t="n"/>
    </row>
    <row r="141">
      <c r="A141" s="47" t="n"/>
    </row>
    <row r="142">
      <c r="A142" s="47" t="n"/>
    </row>
    <row r="143">
      <c r="A143" s="47" t="n"/>
    </row>
    <row r="144">
      <c r="A144" s="47" t="n"/>
    </row>
    <row r="145">
      <c r="A145" s="47" t="n"/>
    </row>
    <row r="146">
      <c r="A146" s="47" t="n"/>
    </row>
    <row r="147">
      <c r="A147" s="47" t="n"/>
    </row>
    <row r="148">
      <c r="A148" s="47" t="n"/>
    </row>
    <row r="149">
      <c r="A149" s="47" t="n"/>
    </row>
    <row r="150">
      <c r="A150" s="47" t="n"/>
    </row>
    <row r="151">
      <c r="A151" s="47" t="n"/>
    </row>
    <row r="152">
      <c r="A152" s="47" t="n"/>
    </row>
    <row r="153">
      <c r="A153" s="47" t="n"/>
    </row>
    <row r="154">
      <c r="A154" s="47" t="n"/>
    </row>
    <row r="155">
      <c r="A155" s="47" t="n"/>
    </row>
    <row r="156">
      <c r="A156" s="47" t="n"/>
    </row>
    <row r="157">
      <c r="A157" s="47" t="n"/>
    </row>
    <row r="158">
      <c r="A158" s="47" t="n"/>
    </row>
    <row r="159">
      <c r="A159" s="47" t="n"/>
    </row>
    <row r="160">
      <c r="A160" s="47" t="n"/>
    </row>
    <row r="161">
      <c r="A161" s="47" t="n"/>
    </row>
    <row r="162">
      <c r="A162" s="47" t="n"/>
    </row>
    <row r="163">
      <c r="A163" s="47" t="n"/>
    </row>
    <row r="164">
      <c r="A164" s="47" t="n"/>
    </row>
    <row r="165">
      <c r="A165" s="47" t="n"/>
    </row>
    <row r="166">
      <c r="A166" s="47" t="n"/>
    </row>
    <row r="167">
      <c r="A167" s="47" t="n"/>
    </row>
    <row r="168">
      <c r="A168" s="47" t="n"/>
    </row>
    <row r="169">
      <c r="A169" s="47" t="n"/>
    </row>
    <row r="170">
      <c r="A170" s="47" t="n"/>
    </row>
    <row r="171">
      <c r="A171" s="47" t="n"/>
    </row>
    <row r="172">
      <c r="A172" s="47" t="n"/>
    </row>
    <row r="173">
      <c r="A173" s="47" t="n"/>
    </row>
    <row r="174">
      <c r="A174" s="47" t="n"/>
    </row>
    <row r="175">
      <c r="A175" s="47" t="n"/>
    </row>
    <row r="176" ht="14.25" customHeight="1" s="276">
      <c r="A176" s="47" t="n"/>
    </row>
    <row r="177" ht="14.25" customHeight="1" s="276">
      <c r="A177" s="47" t="n"/>
    </row>
    <row r="178" ht="14.25" customHeight="1" s="276">
      <c r="A178" s="47" t="n"/>
    </row>
    <row r="179" ht="14.25" customHeight="1" s="276">
      <c r="A179" s="47" t="n"/>
    </row>
    <row r="180" ht="14.25" customHeight="1" s="276">
      <c r="A180" s="47" t="n"/>
    </row>
    <row r="181" ht="14.25" customHeight="1" s="276">
      <c r="A181" s="47" t="n"/>
    </row>
    <row r="182" ht="14.25" customHeight="1" s="276">
      <c r="A182" s="47" t="n"/>
    </row>
    <row r="183" ht="14.25" customHeight="1" s="276">
      <c r="A183" s="47" t="n"/>
    </row>
    <row r="184" ht="14.25" customHeight="1" s="276">
      <c r="A184" s="47" t="n"/>
    </row>
    <row r="185" ht="14.25" customHeight="1" s="276">
      <c r="A185" s="47" t="n"/>
    </row>
    <row r="186" ht="14.25" customHeight="1" s="276">
      <c r="A186" s="47" t="n"/>
    </row>
    <row r="187" ht="14.25" customHeight="1" s="276">
      <c r="A187" s="47" t="n"/>
    </row>
    <row r="188" ht="14.25" customHeight="1" s="276">
      <c r="A188" s="47" t="n"/>
    </row>
    <row r="189" ht="14.25" customHeight="1" s="276">
      <c r="A189" s="47" t="n"/>
    </row>
    <row r="190" ht="14.25" customHeight="1" s="276">
      <c r="A190" s="47" t="n"/>
    </row>
    <row r="191" ht="14.25" customHeight="1" s="276">
      <c r="A191" s="47" t="n"/>
    </row>
    <row r="192" ht="14.25" customHeight="1" s="276">
      <c r="A192" s="47" t="n"/>
    </row>
    <row r="193" ht="14.25" customHeight="1" s="276">
      <c r="A193" s="47" t="n"/>
    </row>
    <row r="194" ht="14.25" customHeight="1" s="276">
      <c r="A194" s="47" t="n"/>
    </row>
    <row r="195" ht="14.25" customHeight="1" s="276">
      <c r="A195" s="47" t="n"/>
    </row>
    <row r="196" ht="14.25" customHeight="1" s="276">
      <c r="A196" s="47" t="n"/>
    </row>
    <row r="197" ht="14.25" customHeight="1" s="276">
      <c r="A197" s="47" t="n"/>
    </row>
    <row r="198" ht="14.25" customHeight="1" s="276">
      <c r="A198" s="47" t="n"/>
    </row>
    <row r="199" ht="14.25" customHeight="1" s="276">
      <c r="A199" s="47" t="n"/>
    </row>
    <row r="200" ht="14.25" customHeight="1" s="276">
      <c r="A200" s="47" t="n"/>
    </row>
    <row r="201" ht="14.25" customHeight="1" s="276">
      <c r="A201" s="47" t="n"/>
    </row>
    <row r="202" ht="14.25" customHeight="1" s="276">
      <c r="A202" s="47" t="n"/>
    </row>
    <row r="203" ht="14.25" customHeight="1" s="276">
      <c r="A203" s="47" t="n"/>
    </row>
    <row r="204" ht="14.25" customHeight="1" s="276">
      <c r="A204" s="47" t="n"/>
    </row>
    <row r="205" ht="14.25" customHeight="1" s="276">
      <c r="A205" s="47" t="n"/>
    </row>
    <row r="206" ht="14.25" customHeight="1" s="276">
      <c r="A206" s="47" t="n"/>
    </row>
    <row r="207" ht="14.25" customHeight="1" s="276">
      <c r="A207" s="47" t="n"/>
    </row>
    <row r="208" ht="14.25" customHeight="1" s="276">
      <c r="A208" s="47" t="n"/>
    </row>
    <row r="209" ht="14.25" customHeight="1" s="276">
      <c r="A209" s="47" t="n"/>
    </row>
    <row r="210" ht="14.25" customHeight="1" s="276">
      <c r="A210" s="47" t="n"/>
    </row>
    <row r="211" ht="14.25" customHeight="1" s="276">
      <c r="A211" s="47" t="n"/>
    </row>
    <row r="212" ht="14.25" customHeight="1" s="276">
      <c r="A212" s="47" t="n"/>
    </row>
    <row r="213" ht="14.25" customHeight="1" s="276">
      <c r="A213" s="47" t="n"/>
    </row>
    <row r="214" ht="14.25" customHeight="1" s="276">
      <c r="A214" s="47" t="n"/>
    </row>
    <row r="215" ht="14.25" customHeight="1" s="276">
      <c r="A215" s="47" t="n"/>
    </row>
    <row r="216" ht="14.25" customHeight="1" s="276">
      <c r="A216" s="47" t="n"/>
    </row>
    <row r="217" ht="14.25" customHeight="1" s="276">
      <c r="A217" s="47" t="n"/>
    </row>
    <row r="218" ht="14.25" customHeight="1" s="276">
      <c r="A218" s="47" t="n"/>
    </row>
    <row r="219" ht="14.25" customHeight="1" s="276">
      <c r="A219" s="47" t="n"/>
    </row>
    <row r="220" ht="14.25" customHeight="1" s="276">
      <c r="A220" s="47" t="n"/>
    </row>
    <row r="221" ht="14.25" customHeight="1" s="276">
      <c r="A221" s="47" t="n"/>
    </row>
    <row r="222" ht="14.25" customHeight="1" s="276">
      <c r="A222" s="47" t="n"/>
    </row>
    <row r="223" ht="14.25" customHeight="1" s="276">
      <c r="A223" s="47" t="n"/>
    </row>
    <row r="224" ht="14.25" customHeight="1" s="276">
      <c r="A224" s="47" t="n"/>
    </row>
    <row r="225" ht="14.25" customHeight="1" s="276">
      <c r="A225" s="47" t="n"/>
    </row>
    <row r="226" ht="14.25" customHeight="1" s="276">
      <c r="A226" s="47" t="n"/>
    </row>
    <row r="227" ht="14.25" customHeight="1" s="276">
      <c r="A227" s="47" t="n"/>
    </row>
    <row r="228" ht="14.25" customHeight="1" s="276">
      <c r="A228" s="47" t="n"/>
    </row>
    <row r="229" ht="14.25" customHeight="1" s="276">
      <c r="A229" s="47" t="n"/>
    </row>
    <row r="230" ht="14.25" customHeight="1" s="276">
      <c r="A230" s="47" t="n"/>
    </row>
    <row r="231" ht="14.25" customHeight="1" s="276">
      <c r="A231" s="47" t="n"/>
    </row>
    <row r="232" ht="14.25" customHeight="1" s="276">
      <c r="A232" s="47" t="n"/>
    </row>
    <row r="233" ht="14.25" customHeight="1" s="276">
      <c r="A233" s="47" t="n"/>
    </row>
    <row r="234" ht="14.25" customHeight="1" s="276">
      <c r="A234" s="47" t="n"/>
    </row>
    <row r="235" ht="14.25" customHeight="1" s="276">
      <c r="A235" s="47" t="n"/>
    </row>
    <row r="236" ht="14.25" customHeight="1" s="276">
      <c r="A236" s="47" t="n"/>
    </row>
    <row r="237" ht="14.25" customHeight="1" s="276">
      <c r="A237" s="47" t="n"/>
    </row>
    <row r="238" ht="14.25" customHeight="1" s="276">
      <c r="A238" s="47" t="n"/>
    </row>
    <row r="239" ht="14.25" customHeight="1" s="276">
      <c r="A239" s="47" t="n"/>
    </row>
    <row r="240" ht="14.25" customHeight="1" s="276">
      <c r="A240" s="47" t="n"/>
    </row>
    <row r="241" ht="14.25" customHeight="1" s="276">
      <c r="A241" s="47" t="n"/>
    </row>
    <row r="242" ht="14.25" customHeight="1" s="276">
      <c r="A242" s="47" t="n"/>
    </row>
    <row r="243" ht="14.25" customHeight="1" s="276">
      <c r="A243" s="47" t="n"/>
    </row>
    <row r="244" ht="14.25" customHeight="1" s="276">
      <c r="A244" s="47" t="n"/>
    </row>
    <row r="245" ht="14.25" customHeight="1" s="276">
      <c r="A245" s="47" t="n"/>
    </row>
    <row r="246" ht="14.25" customHeight="1" s="276">
      <c r="A246" s="47" t="n"/>
    </row>
    <row r="247" ht="14.25" customHeight="1" s="276">
      <c r="A247" s="47" t="n"/>
    </row>
    <row r="248" ht="14.25" customHeight="1" s="276">
      <c r="A248" s="47" t="n"/>
    </row>
    <row r="249" ht="14.25" customHeight="1" s="276">
      <c r="A249" s="47" t="n"/>
    </row>
    <row r="250" ht="14.25" customHeight="1" s="276">
      <c r="A250" s="47" t="n"/>
    </row>
    <row r="251" ht="14.25" customHeight="1" s="276">
      <c r="A251" s="47" t="n"/>
    </row>
    <row r="252" ht="14.25" customHeight="1" s="276">
      <c r="A252" s="47" t="n"/>
    </row>
    <row r="253" ht="14.25" customHeight="1" s="276">
      <c r="A253" s="47" t="n"/>
    </row>
    <row r="254" ht="14.25" customHeight="1" s="276">
      <c r="A254" s="47" t="n"/>
    </row>
    <row r="255" ht="14.25" customHeight="1" s="276">
      <c r="A255" s="47" t="n"/>
    </row>
    <row r="256" ht="14.25" customHeight="1" s="276">
      <c r="A256" s="47" t="n"/>
    </row>
    <row r="257" ht="14.25" customHeight="1" s="276">
      <c r="A257" s="47" t="n"/>
    </row>
    <row r="258" ht="14.25" customHeight="1" s="276">
      <c r="A258" s="47" t="n"/>
    </row>
    <row r="259" ht="14.25" customHeight="1" s="276">
      <c r="A259" s="47" t="n"/>
    </row>
    <row r="260" ht="14.25" customHeight="1" s="276">
      <c r="A260" s="47" t="n"/>
    </row>
    <row r="261" ht="14.25" customHeight="1" s="276">
      <c r="A261" s="47" t="n"/>
    </row>
    <row r="262" ht="14.25" customHeight="1" s="276">
      <c r="A262" s="47" t="n"/>
    </row>
    <row r="263" ht="14.25" customHeight="1" s="276">
      <c r="A263" s="47" t="n"/>
    </row>
    <row r="264" ht="14.25" customHeight="1" s="276">
      <c r="A264" s="47" t="n"/>
    </row>
    <row r="265" ht="14.25" customHeight="1" s="276">
      <c r="A265" s="47" t="n"/>
    </row>
    <row r="266" ht="14.25" customHeight="1" s="276">
      <c r="A266" s="47" t="n"/>
    </row>
    <row r="267" ht="14.25" customHeight="1" s="276">
      <c r="A267" s="47" t="n"/>
    </row>
    <row r="268" ht="14.25" customHeight="1" s="276">
      <c r="A268" s="47" t="n"/>
    </row>
    <row r="269" ht="14.25" customHeight="1" s="276">
      <c r="A269" s="47" t="n"/>
    </row>
    <row r="270" ht="14.25" customHeight="1" s="276">
      <c r="A270" s="47" t="n"/>
    </row>
    <row r="271" ht="14.25" customHeight="1" s="276">
      <c r="A271" s="47" t="n"/>
    </row>
    <row r="272" ht="14.25" customHeight="1" s="276">
      <c r="A272" s="47" t="n"/>
    </row>
    <row r="273" ht="14.25" customHeight="1" s="276">
      <c r="A273" s="47" t="n"/>
    </row>
    <row r="274" ht="14.25" customHeight="1" s="276">
      <c r="A274" s="47" t="n"/>
    </row>
    <row r="275" ht="14.25" customHeight="1" s="276">
      <c r="A275" s="47" t="n"/>
    </row>
    <row r="276" ht="14.25" customHeight="1" s="276">
      <c r="A276" s="47" t="n"/>
    </row>
    <row r="277" ht="14.25" customHeight="1" s="276">
      <c r="A277" s="47" t="n"/>
    </row>
    <row r="278" ht="14.25" customHeight="1" s="276">
      <c r="A278" s="47" t="n"/>
    </row>
    <row r="279" ht="14.25" customHeight="1" s="276">
      <c r="A279" s="47" t="n"/>
    </row>
    <row r="280" ht="14.25" customHeight="1" s="276">
      <c r="A280" s="47" t="n"/>
    </row>
    <row r="281" ht="14.25" customHeight="1" s="276">
      <c r="A281" s="47" t="n"/>
    </row>
    <row r="282" ht="14.25" customHeight="1" s="276">
      <c r="A282" s="47" t="n"/>
    </row>
    <row r="283" ht="14.25" customHeight="1" s="276">
      <c r="A283" s="47" t="n"/>
    </row>
    <row r="284" ht="14.25" customHeight="1" s="276">
      <c r="A284" s="47" t="n"/>
    </row>
    <row r="285" ht="14.25" customHeight="1" s="276">
      <c r="A285" s="47" t="n"/>
    </row>
    <row r="286" ht="14.25" customHeight="1" s="276">
      <c r="A286" s="47" t="n"/>
    </row>
    <row r="287" ht="14.25" customHeight="1" s="276">
      <c r="A287" s="47" t="n"/>
    </row>
    <row r="288" ht="14.25" customHeight="1" s="276">
      <c r="A288" s="47" t="n"/>
    </row>
    <row r="289" ht="14.25" customHeight="1" s="276">
      <c r="A289" s="47" t="n"/>
    </row>
    <row r="290" ht="14.25" customHeight="1" s="276">
      <c r="A290" s="47" t="n"/>
    </row>
    <row r="291" ht="14.25" customHeight="1" s="276">
      <c r="A291" s="47" t="n"/>
    </row>
    <row r="292" ht="14.25" customHeight="1" s="276">
      <c r="A292" s="47" t="n"/>
    </row>
    <row r="293" ht="14.25" customHeight="1" s="276">
      <c r="A293" s="47" t="n"/>
    </row>
    <row r="294" ht="14.25" customHeight="1" s="276">
      <c r="A294" s="47" t="n"/>
    </row>
    <row r="295" ht="14.25" customHeight="1" s="276">
      <c r="A295" s="47" t="n"/>
    </row>
    <row r="296" ht="14.25" customHeight="1" s="276">
      <c r="A296" s="47" t="n"/>
    </row>
    <row r="297" ht="14.25" customHeight="1" s="276">
      <c r="A297" s="47" t="n"/>
    </row>
    <row r="298" ht="14.25" customHeight="1" s="276">
      <c r="A298" s="47" t="n"/>
    </row>
    <row r="299" ht="14.25" customHeight="1" s="276">
      <c r="A299" s="47" t="n"/>
    </row>
    <row r="300" ht="14.25" customHeight="1" s="276">
      <c r="A300" s="47" t="n"/>
    </row>
    <row r="301" ht="14.25" customHeight="1" s="276">
      <c r="A301" s="47" t="n"/>
    </row>
    <row r="302" ht="14.25" customHeight="1" s="276">
      <c r="A302" s="47" t="n"/>
    </row>
    <row r="303" ht="14.25" customHeight="1" s="276">
      <c r="A303" s="47" t="n"/>
    </row>
    <row r="304" ht="14.25" customHeight="1" s="276">
      <c r="A304" s="47" t="n"/>
    </row>
    <row r="305" ht="14.25" customHeight="1" s="276">
      <c r="A305" s="47" t="n"/>
    </row>
    <row r="306" ht="14.25" customHeight="1" s="276">
      <c r="A306" s="47" t="n"/>
    </row>
    <row r="307" ht="14.25" customHeight="1" s="276">
      <c r="A307" s="47" t="n"/>
    </row>
    <row r="308" ht="14.25" customHeight="1" s="276">
      <c r="A308" s="47" t="n"/>
    </row>
    <row r="309" ht="14.25" customHeight="1" s="276">
      <c r="A309" s="47" t="n"/>
    </row>
    <row r="310" ht="14.25" customHeight="1" s="276">
      <c r="A310" s="47" t="n"/>
    </row>
    <row r="311" ht="14.25" customHeight="1" s="276">
      <c r="A311" s="47" t="n"/>
    </row>
    <row r="312" ht="14.25" customHeight="1" s="276">
      <c r="A312" s="47" t="n"/>
    </row>
    <row r="313" ht="14.25" customHeight="1" s="276">
      <c r="A313" s="47" t="n"/>
    </row>
    <row r="314" ht="14.25" customHeight="1" s="276">
      <c r="A314" s="47" t="n"/>
    </row>
    <row r="315" ht="14.25" customHeight="1" s="276">
      <c r="A315" s="47" t="n"/>
    </row>
    <row r="316" ht="14.25" customHeight="1" s="276">
      <c r="A316" s="47" t="n"/>
    </row>
    <row r="317" ht="14.25" customHeight="1" s="276">
      <c r="A317" s="47" t="n"/>
    </row>
    <row r="318" ht="14.25" customHeight="1" s="276">
      <c r="A318" s="47" t="n"/>
    </row>
    <row r="319" ht="14.25" customHeight="1" s="276">
      <c r="A319" s="47" t="n"/>
    </row>
    <row r="320" ht="14.25" customHeight="1" s="276">
      <c r="A320" s="47" t="n"/>
    </row>
    <row r="321" ht="14.25" customHeight="1" s="276">
      <c r="A321" s="47" t="n"/>
    </row>
    <row r="322" ht="14.25" customHeight="1" s="276">
      <c r="A322" s="47" t="n"/>
    </row>
    <row r="323" ht="14.25" customHeight="1" s="276">
      <c r="A323" s="47" t="n"/>
    </row>
    <row r="324" ht="14.25" customHeight="1" s="276">
      <c r="A324" s="47" t="n"/>
    </row>
    <row r="325" ht="14.25" customHeight="1" s="276">
      <c r="A325" s="47" t="n"/>
    </row>
    <row r="326" ht="14.25" customHeight="1" s="276">
      <c r="A326" s="47" t="n"/>
    </row>
    <row r="327" ht="14.25" customHeight="1" s="276">
      <c r="A327" s="47" t="n"/>
    </row>
    <row r="328" ht="14.25" customHeight="1" s="276">
      <c r="A328" s="47" t="n"/>
    </row>
    <row r="329" ht="14.25" customHeight="1" s="276">
      <c r="A329" s="47" t="n"/>
    </row>
    <row r="330" ht="14.25" customHeight="1" s="276">
      <c r="A330" s="47" t="n"/>
    </row>
    <row r="331" ht="14.25" customHeight="1" s="276">
      <c r="A331" s="47" t="n"/>
    </row>
    <row r="332" ht="14.25" customHeight="1" s="276">
      <c r="A332" s="47" t="n"/>
    </row>
    <row r="333" ht="14.25" customHeight="1" s="276">
      <c r="A333" s="47" t="n"/>
    </row>
    <row r="334" ht="14.25" customHeight="1" s="276">
      <c r="A334" s="47" t="n"/>
    </row>
    <row r="335" ht="14.25" customHeight="1" s="276">
      <c r="A335" s="47" t="n"/>
    </row>
    <row r="336" ht="14.25" customHeight="1" s="276">
      <c r="A336" s="47" t="n"/>
    </row>
    <row r="337" ht="14.25" customHeight="1" s="276">
      <c r="A337" s="47" t="n"/>
    </row>
    <row r="338" ht="14.25" customHeight="1" s="276">
      <c r="A338" s="47" t="n"/>
    </row>
    <row r="339" ht="14.25" customHeight="1" s="276">
      <c r="A339" s="47" t="n"/>
    </row>
    <row r="340" ht="14.25" customHeight="1" s="276">
      <c r="A340" s="47" t="n"/>
    </row>
    <row r="341" ht="14.25" customHeight="1" s="276">
      <c r="A341" s="47" t="n"/>
    </row>
    <row r="342" ht="14.25" customHeight="1" s="276">
      <c r="A342" s="47" t="n"/>
    </row>
    <row r="343" ht="14.25" customHeight="1" s="276">
      <c r="A343" s="47" t="n"/>
    </row>
    <row r="344" ht="14.25" customHeight="1" s="276">
      <c r="A344" s="47" t="n"/>
    </row>
    <row r="345" ht="14.25" customHeight="1" s="276">
      <c r="A345" s="47" t="n"/>
    </row>
    <row r="346" ht="14.25" customHeight="1" s="276">
      <c r="A346" s="47" t="n"/>
    </row>
    <row r="347" ht="14.25" customHeight="1" s="276">
      <c r="A347" s="47" t="n"/>
    </row>
    <row r="348" ht="14.25" customHeight="1" s="276">
      <c r="A348" s="47" t="n"/>
    </row>
    <row r="349" ht="14.25" customHeight="1" s="276">
      <c r="A349" s="47" t="n"/>
    </row>
    <row r="350" ht="14.25" customHeight="1" s="276">
      <c r="A350" s="47" t="n"/>
    </row>
    <row r="351" ht="14.25" customHeight="1" s="276">
      <c r="A351" s="47" t="n"/>
    </row>
    <row r="352" ht="14.25" customHeight="1" s="276">
      <c r="A352" s="47" t="n"/>
    </row>
    <row r="353" ht="14.25" customHeight="1" s="276">
      <c r="A353" s="47" t="n"/>
    </row>
    <row r="354" ht="14.25" customHeight="1" s="276">
      <c r="A354" s="47" t="n"/>
    </row>
    <row r="355" ht="14.25" customHeight="1" s="276">
      <c r="A355" s="47" t="n"/>
    </row>
    <row r="356" ht="14.25" customHeight="1" s="276">
      <c r="A356" s="47" t="n"/>
    </row>
    <row r="357" ht="14.25" customHeight="1" s="276">
      <c r="A357" s="47" t="n"/>
    </row>
    <row r="358" ht="14.25" customHeight="1" s="276">
      <c r="A358" s="47" t="n"/>
    </row>
    <row r="359" ht="14.25" customHeight="1" s="276">
      <c r="A359" s="47" t="n"/>
    </row>
    <row r="360" ht="14.25" customHeight="1" s="276">
      <c r="A360" s="47" t="n"/>
    </row>
    <row r="361" ht="14.25" customHeight="1" s="276">
      <c r="A361" s="47" t="n"/>
    </row>
    <row r="362" ht="14.25" customHeight="1" s="276">
      <c r="A362" s="47" t="n"/>
    </row>
    <row r="363" ht="14.25" customHeight="1" s="276">
      <c r="A363" s="47" t="n"/>
    </row>
    <row r="364" ht="14.25" customHeight="1" s="276">
      <c r="A364" s="47" t="n"/>
    </row>
    <row r="365" ht="14.25" customHeight="1" s="276">
      <c r="A365" s="47" t="n"/>
    </row>
    <row r="366" ht="14.25" customHeight="1" s="276">
      <c r="A366" s="47" t="n"/>
    </row>
    <row r="367" ht="14.25" customHeight="1" s="276">
      <c r="A367" s="47" t="n"/>
    </row>
    <row r="368" ht="14.25" customHeight="1" s="276">
      <c r="A368" s="47" t="n"/>
    </row>
    <row r="369" ht="14.25" customHeight="1" s="276">
      <c r="A369" s="47" t="n"/>
    </row>
    <row r="370" ht="14.25" customHeight="1" s="276">
      <c r="A370" s="47" t="n"/>
    </row>
    <row r="371" ht="14.25" customHeight="1" s="276">
      <c r="A371" s="47" t="n"/>
    </row>
    <row r="372" ht="14.25" customHeight="1" s="276">
      <c r="A372" s="47" t="n"/>
    </row>
    <row r="373" ht="14.25" customHeight="1" s="276">
      <c r="A373" s="47" t="n"/>
    </row>
    <row r="374" ht="14.25" customHeight="1" s="276">
      <c r="A374" s="47" t="n"/>
    </row>
    <row r="375" ht="14.25" customHeight="1" s="276">
      <c r="A375" s="47" t="n"/>
    </row>
    <row r="376" ht="14.25" customHeight="1" s="276">
      <c r="A376" s="47" t="n"/>
    </row>
    <row r="377" ht="14.25" customHeight="1" s="276">
      <c r="A377" s="47" t="n"/>
    </row>
    <row r="378" ht="14.25" customHeight="1" s="276">
      <c r="A378" s="47" t="n"/>
    </row>
    <row r="379" ht="14.25" customHeight="1" s="276">
      <c r="A379" s="47" t="n"/>
    </row>
    <row r="380" ht="14.25" customHeight="1" s="276">
      <c r="A380" s="47" t="n"/>
    </row>
    <row r="381" ht="14.25" customHeight="1" s="276">
      <c r="A381" s="47" t="n"/>
    </row>
    <row r="382" ht="14.25" customHeight="1" s="276">
      <c r="A382" s="47" t="n"/>
    </row>
    <row r="383" ht="14.25" customHeight="1" s="276">
      <c r="A383" s="47" t="n"/>
    </row>
    <row r="384" ht="14.25" customHeight="1" s="276">
      <c r="A384" s="47" t="n"/>
    </row>
    <row r="385" ht="14.25" customHeight="1" s="276">
      <c r="A385" s="47" t="n"/>
    </row>
    <row r="386" ht="14.25" customHeight="1" s="276">
      <c r="A386" s="47" t="n"/>
    </row>
    <row r="387" ht="14.25" customHeight="1" s="276">
      <c r="A387" s="47" t="n"/>
    </row>
    <row r="388" ht="14.25" customHeight="1" s="276">
      <c r="A388" s="47" t="n"/>
    </row>
    <row r="389" ht="14.25" customHeight="1" s="276">
      <c r="A389" s="47" t="n"/>
    </row>
    <row r="390" ht="14.25" customHeight="1" s="276">
      <c r="A390" s="47" t="n"/>
    </row>
    <row r="391" ht="14.25" customHeight="1" s="276">
      <c r="A391" s="47" t="n"/>
    </row>
    <row r="392" ht="14.25" customHeight="1" s="276">
      <c r="A392" s="47" t="n"/>
    </row>
    <row r="393" ht="14.25" customHeight="1" s="276">
      <c r="A393" s="47" t="n"/>
    </row>
    <row r="394" ht="14.25" customHeight="1" s="276">
      <c r="A394" s="47" t="n"/>
    </row>
    <row r="395" ht="14.25" customHeight="1" s="276">
      <c r="A395" s="47" t="n"/>
    </row>
    <row r="396" ht="14.25" customHeight="1" s="276">
      <c r="A396" s="47" t="n"/>
    </row>
    <row r="397" ht="14.25" customHeight="1" s="276">
      <c r="A397" s="47" t="n"/>
    </row>
    <row r="398" ht="14.25" customHeight="1" s="276">
      <c r="A398" s="47" t="n"/>
    </row>
    <row r="399" ht="14.25" customHeight="1" s="276">
      <c r="A399" s="47" t="n"/>
    </row>
    <row r="400" ht="14.25" customHeight="1" s="276">
      <c r="A400" s="47" t="n"/>
    </row>
    <row r="401" ht="14.25" customHeight="1" s="276">
      <c r="A401" s="47" t="n"/>
    </row>
    <row r="402" ht="14.25" customHeight="1" s="276">
      <c r="A402" s="47" t="n"/>
    </row>
    <row r="403" ht="14.25" customHeight="1" s="276">
      <c r="A403" s="47" t="n"/>
    </row>
    <row r="404" ht="14.25" customHeight="1" s="276">
      <c r="A404" s="47" t="n"/>
    </row>
    <row r="405" ht="14.25" customHeight="1" s="276">
      <c r="A405" s="47" t="n"/>
    </row>
    <row r="406" ht="14.25" customHeight="1" s="276">
      <c r="A406" s="47" t="n"/>
    </row>
    <row r="407" ht="14.25" customHeight="1" s="276">
      <c r="A407" s="47" t="n"/>
    </row>
    <row r="408" ht="14.25" customHeight="1" s="276">
      <c r="A408" s="47" t="n"/>
    </row>
    <row r="409" ht="14.25" customHeight="1" s="276">
      <c r="A409" s="47" t="n"/>
    </row>
    <row r="410" ht="14.25" customHeight="1" s="276">
      <c r="A410" s="47" t="n"/>
    </row>
    <row r="411" ht="14.25" customHeight="1" s="276">
      <c r="A411" s="47" t="n"/>
    </row>
    <row r="412" ht="14.25" customHeight="1" s="276">
      <c r="A412" s="47" t="n"/>
    </row>
    <row r="413" ht="14.25" customHeight="1" s="276">
      <c r="A413" s="47" t="n"/>
    </row>
    <row r="414" ht="14.25" customHeight="1" s="276">
      <c r="A414" s="47" t="n"/>
    </row>
    <row r="415" ht="14.25" customHeight="1" s="276">
      <c r="A415" s="47" t="n"/>
    </row>
    <row r="416" ht="14.25" customHeight="1" s="276">
      <c r="A416" s="47" t="n"/>
    </row>
    <row r="417" ht="14.25" customHeight="1" s="276">
      <c r="A417" s="47" t="n"/>
    </row>
    <row r="418" ht="14.25" customHeight="1" s="276">
      <c r="A418" s="47" t="n"/>
    </row>
    <row r="419" ht="14.25" customHeight="1" s="276">
      <c r="A419" s="47" t="n"/>
    </row>
    <row r="420" ht="14.25" customHeight="1" s="276">
      <c r="A420" s="47" t="n"/>
    </row>
  </sheetData>
  <mergeCells count="91">
    <mergeCell ref="B42:D42"/>
    <mergeCell ref="B11:D11"/>
    <mergeCell ref="B60:D60"/>
    <mergeCell ref="B57:D57"/>
    <mergeCell ref="B53:D53"/>
    <mergeCell ref="A105:C105"/>
    <mergeCell ref="B44:D44"/>
    <mergeCell ref="B34:D34"/>
    <mergeCell ref="B28:D28"/>
    <mergeCell ref="B86:C86"/>
    <mergeCell ref="B37:D37"/>
    <mergeCell ref="B30:D30"/>
    <mergeCell ref="B6:D6"/>
    <mergeCell ref="B20:D20"/>
    <mergeCell ref="B80:D80"/>
    <mergeCell ref="B4:D4"/>
    <mergeCell ref="B62:D62"/>
    <mergeCell ref="B54:D54"/>
    <mergeCell ref="B72:D72"/>
    <mergeCell ref="B56:D56"/>
    <mergeCell ref="B70:D70"/>
    <mergeCell ref="B43:D43"/>
    <mergeCell ref="B8:D8"/>
    <mergeCell ref="B17:D17"/>
    <mergeCell ref="B73:D73"/>
    <mergeCell ref="B82:D82"/>
    <mergeCell ref="B10:D10"/>
    <mergeCell ref="B19:D19"/>
    <mergeCell ref="B9:D9"/>
    <mergeCell ref="B74:D74"/>
    <mergeCell ref="A106:C106"/>
    <mergeCell ref="B68:D68"/>
    <mergeCell ref="B5:D5"/>
    <mergeCell ref="B36:D36"/>
    <mergeCell ref="B76:D76"/>
    <mergeCell ref="B45:D45"/>
    <mergeCell ref="A88:D88"/>
    <mergeCell ref="B84:C84"/>
    <mergeCell ref="B75:D75"/>
    <mergeCell ref="B47:D47"/>
    <mergeCell ref="B59:D59"/>
    <mergeCell ref="B31:D31"/>
    <mergeCell ref="B46:D46"/>
    <mergeCell ref="B21:D21"/>
    <mergeCell ref="B39:D39"/>
    <mergeCell ref="B48:D48"/>
    <mergeCell ref="A108:C108"/>
    <mergeCell ref="B14:D14"/>
    <mergeCell ref="B23:D23"/>
    <mergeCell ref="B13:D13"/>
    <mergeCell ref="B78:D78"/>
    <mergeCell ref="A83:D83"/>
    <mergeCell ref="B49:D49"/>
    <mergeCell ref="B65:D65"/>
    <mergeCell ref="B51:D51"/>
    <mergeCell ref="B63:D63"/>
    <mergeCell ref="B41:D41"/>
    <mergeCell ref="B35:D35"/>
    <mergeCell ref="B50:D50"/>
    <mergeCell ref="B25:D25"/>
    <mergeCell ref="B66:D66"/>
    <mergeCell ref="A107:C107"/>
    <mergeCell ref="A89:D89"/>
    <mergeCell ref="B22:D22"/>
    <mergeCell ref="B85:C85"/>
    <mergeCell ref="B12:D12"/>
    <mergeCell ref="B77:D77"/>
    <mergeCell ref="A90:C90"/>
    <mergeCell ref="B67:D67"/>
    <mergeCell ref="B61:D61"/>
    <mergeCell ref="B29:D29"/>
    <mergeCell ref="B69:D69"/>
    <mergeCell ref="B38:D38"/>
    <mergeCell ref="B40:D40"/>
    <mergeCell ref="B15:D15"/>
    <mergeCell ref="B55:D55"/>
    <mergeCell ref="B24:D24"/>
    <mergeCell ref="B64:D64"/>
    <mergeCell ref="B33:D33"/>
    <mergeCell ref="B87:C87"/>
    <mergeCell ref="B79:D79"/>
    <mergeCell ref="B32:D32"/>
    <mergeCell ref="B26:D26"/>
    <mergeCell ref="B7:D7"/>
    <mergeCell ref="B16:D16"/>
    <mergeCell ref="B81:D81"/>
    <mergeCell ref="B71:D71"/>
    <mergeCell ref="B58:D58"/>
    <mergeCell ref="B18:D18"/>
    <mergeCell ref="B27:D27"/>
    <mergeCell ref="B52:D52"/>
  </mergeCells>
  <conditionalFormatting sqref="E5:BL70">
    <cfRule type="expression" priority="1" dxfId="1">
      <formula>ISBLANK(E5)</formula>
    </cfRule>
  </conditionalFormatting>
  <conditionalFormatting sqref="E71:BL82">
    <cfRule type="expression" priority="7" dxfId="0">
      <formula>ISBLANK(E71)</formula>
    </cfRule>
  </conditionalFormatting>
  <pageMargins left="0.5118110236220472" right="0.5118110236220472" top="0.7874015748031497" bottom="0.7874015748031497" header="0.3149606299212598" footer="0.3149606299212598"/>
  <pageSetup orientation="landscape" paperSize="9" scale="21" horizontalDpi="300" verticalDpi="300"/>
  <headerFooter>
    <oddHeader>&amp;C&amp;"Arial,Negrito"&amp;12 DNIT 2026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Rildo Ap. F. Andrade</dc:creator>
  <dcterms:created xmlns:dcterms="http://purl.org/dc/terms/" xmlns:xsi="http://www.w3.org/2001/XMLSchema-instance" xsi:type="dcterms:W3CDTF">1999-08-11T12:14:03Z</dcterms:created>
  <dcterms:modified xmlns:dcterms="http://purl.org/dc/terms/" xmlns:xsi="http://www.w3.org/2001/XMLSchema-instance" xsi:type="dcterms:W3CDTF">2026-07-20T18:11:46Z</dcterms:modified>
  <cp:lastModifiedBy>FABIO CELSO DE MATTOS</cp:lastModifiedBy>
  <cp:lastPrinted>2026-07-14T12:11:48Z</cp:lastPrinted>
</cp:coreProperties>
</file>